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_FIRST" sheetId="1" state="visible" r:id="rId3"/>
    <sheet name="Reaction_Master" sheetId="2" state="visible" r:id="rId4"/>
    <sheet name="AA_Index" sheetId="3" state="visible" r:id="rId5"/>
    <sheet name="01_SPPS_Foundation" sheetId="4" state="visible" r:id="rId6"/>
    <sheet name="02_Special_Residues" sheetId="5" state="visible" r:id="rId7"/>
    <sheet name="03_N_Methylation" sheetId="6" state="visible" r:id="rId8"/>
    <sheet name="04_C_Term_Amidation" sheetId="7" state="visible" r:id="rId9"/>
    <sheet name="05_N_Term_Acetylation" sheetId="8" state="visible" r:id="rId10"/>
    <sheet name="06_Lipidation" sheetId="9" state="visible" r:id="rId11"/>
    <sheet name="07_PEGylation" sheetId="10" state="visible" r:id="rId12"/>
    <sheet name="08_Glycosylation" sheetId="11" state="visible" r:id="rId13"/>
    <sheet name="09_Cyclization" sheetId="12" state="visible" r:id="rId14"/>
    <sheet name="10_Hydrocarbon_Stapling" sheetId="13" state="visible" r:id="rId15"/>
    <sheet name="11_Disulfide" sheetId="14" state="visible" r:id="rId16"/>
    <sheet name="12_Biaryl_BisAlkylation" sheetId="15" state="visible" r:id="rId17"/>
    <sheet name="13_Aza_Peptide" sheetId="16" state="visible" r:id="rId18"/>
    <sheet name="14_Retro_Inverso" sheetId="17" state="visible" r:id="rId19"/>
    <sheet name="15_Charge_Hybrids" sheetId="18" state="visible" r:id="rId20"/>
    <sheet name="Reagent_Checklist" sheetId="19" state="visible" r:id="rId21"/>
    <sheet name="Order_of_Operations" sheetId="20" state="visible" r:id="rId22"/>
    <sheet name="Open_Decisions" sheetId="21" state="visible" r:id="rId23"/>
    <sheet name="Caveats_From_Deck" sheetId="22" state="visible" r:id="rId24"/>
  </sheets>
  <definedNames>
    <definedName function="false" hidden="true" localSheetId="18" name="_xlnm._FilterDatabase" vbProcedure="false">Reagent_Checklist!$A$4:$L$57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<sst xmlns="http://schemas.openxmlformats.org/spreadsheetml/2006/main" count="1388" uniqueCount="600">
  <si>
    <t xml:space="preserve">ApexChem - Synthesis Reactions by Chemistry &amp; Amino Acid</t>
  </si>
  <si>
    <t xml:space="preserve">Source: ApexChem_Synthesis_Reactions_Deck.pptx (20 slides). Every chemistry, reagent, condition, risk and</t>
  </si>
  <si>
    <t xml:space="preserve">alternative below is transcribed from that deck. Nothing has been added from outside it except where a cell is</t>
  </si>
  <si>
    <t xml:space="preserve">explicitly left blank for you to fill in.</t>
  </si>
  <si>
    <t xml:space="preserve">PURPOSE</t>
  </si>
  <si>
    <t xml:space="preserve">Working file for preparing a detailed reagents-needed and conditions summary. The deck states the chemistry;</t>
  </si>
  <si>
    <t xml:space="preserve">this workbook turns it into a per-step worksheet with blank columns for the specifics the deck does not give</t>
  </si>
  <si>
    <t xml:space="preserve">(exact grade, CAS, supplier, catalogue number, MW, equivalents, amounts, lead time, SOP reference).</t>
  </si>
  <si>
    <t xml:space="preserve">HOW IT IS ORGANIZED - and why</t>
  </si>
  <si>
    <t xml:space="preserve">The deck is organized by REACTION FAMILY, not by amino acid, because reagents and conditions belong to a</t>
  </si>
  <si>
    <t xml:space="preserve">chemistry rather than to a residue (the same Lys deprotection reagent serves lipidation and lactam formation).</t>
  </si>
  <si>
    <t xml:space="preserve">So the fill-in worksheets are one tab per reaction family - 15 tabs, prefixed 01-15 in workflow order.</t>
  </si>
  <si>
    <t xml:space="preserve">The 'by amino acid' view you asked for is provided as AA_Index, which maps every residue to the chemistries</t>
  </si>
  <si>
    <t xml:space="preserve">that touch it and flags the protecting-group clashes. Start there if you are thinking residue-first.</t>
  </si>
  <si>
    <t xml:space="preserve">TABS</t>
  </si>
  <si>
    <t xml:space="preserve">  READ_ME_FIRST ......... this page</t>
  </si>
  <si>
    <t xml:space="preserve">  Reaction_Master ....... all 15 families on one grid: counts, residues touched, automation, key risk</t>
  </si>
  <si>
    <t xml:space="preserve">  AA_Index .............. BY AMINO ACID - each residue -&gt; chemistries -&gt; key note (the residue-first view)</t>
  </si>
  <si>
    <t xml:space="preserve">  01-15 (15 tabs) ....... one per reaction family: step-by-step worksheet with blank fill-in columns</t>
  </si>
  <si>
    <t xml:space="preserve">  Reagent_Checklist ..... consolidated reagent list across all families, blank sourcing columns</t>
  </si>
  <si>
    <t xml:space="preserve">  Order_of_Operations ... the 7-stage workflow and where each chemistry fits</t>
  </si>
  <si>
    <t xml:space="preserve">  Open_Decisions ........ the 8 decisions the deck says the team still owes</t>
  </si>
  <si>
    <t xml:space="preserve">  Caveats_From_Deck ..... accuracy notes carried over verbatim from the final slide</t>
  </si>
  <si>
    <t xml:space="preserve">COLOR KEY</t>
  </si>
  <si>
    <t xml:space="preserve">  Dark blue header ...... column headings</t>
  </si>
  <si>
    <t xml:space="preserve">  YELLOW cells .......... YOU FILL THESE IN. Blank by design - the deck does not specify them.</t>
  </si>
  <si>
    <t xml:space="preserve">  ORANGE cells .......... risk / clash warnings carried from the deck. Read before running the step.</t>
  </si>
  <si>
    <t xml:space="preserve">  White cells ........... transcribed from the deck. Verify against your validated SOPs before use.</t>
  </si>
  <si>
    <t xml:space="preserve">IMPORTANT - carried from the deck's own caveat slide</t>
  </si>
  <si>
    <t xml:space="preserve">  - The deck's verdict on itself was 'accurate_with_fixes'. Confirm everything against validated SOPs.</t>
  </si>
  <si>
    <t xml:space="preserve">  - Building-block availability is the real gate: many ncAA, glyco-AA, N-Me and aza blocks are long-lead.</t>
  </si>
  <si>
    <t xml:space="preserve">  - Protecting-group orthogonality is the #1 hybrid failure mode - plan the PG scheme before ordering.</t>
  </si>
  <si>
    <t xml:space="preserve">  - The Mtt/Trt clash (tab 06) is the single most likely way to lose a batch. Read it first.</t>
  </si>
  <si>
    <t xml:space="preserve">Reaction Master - all 15 families</t>
  </si>
  <si>
    <t xml:space="preserve">14 modification families partition to 1,740 analogs. Fmoc-SPPS is the shared foundation for all 1,740, not a 15th modification. Counts from the All_Analogs workbook.</t>
  </si>
  <si>
    <t xml:space="preserve">Tab</t>
  </si>
  <si>
    <t xml:space="preserve">Reaction family</t>
  </si>
  <si>
    <t xml:space="preserve">Analogs</t>
  </si>
  <si>
    <t xml:space="preserve">Slide</t>
  </si>
  <si>
    <t xml:space="preserve">Residues / sites touched</t>
  </si>
  <si>
    <t xml:space="preserve">Purpose</t>
  </si>
  <si>
    <t xml:space="preserve">Automation (SymphonyX vs manual)</t>
  </si>
  <si>
    <t xml:space="preserve">Key risk</t>
  </si>
  <si>
    <t xml:space="preserve">Owner</t>
  </si>
  <si>
    <t xml:space="preserve">Status</t>
  </si>
  <si>
    <t xml:space="preserve">01_SPPS_Foundation</t>
  </si>
  <si>
    <t xml:space="preserve">Fmoc Solid-Phase Peptide Synthesis (FOUNDATION)</t>
  </si>
  <si>
    <t xml:space="preserve">All residues; resin choice sets C-terminus</t>
  </si>
  <si>
    <t xml:space="preserve">Every analog is built residue-by-residue on resin before any modification. Shared foundation for all 1,740 analogs - not a 15th modification family.</t>
  </si>
  <si>
    <t xml:space="preserve">Fully automated on SymphonyX - this is its core function. Program the sequence + coupling protocol.</t>
  </si>
  <si>
    <t xml:space="preserve">Aggregation / deletion sequences on long or hydrophobic peptides. Mitigate with pseudoproline dipeptides, double-coupling, or elevated temperature. QC by LC-MS after cleavage.</t>
  </si>
  <si>
    <t xml:space="preserve">02_Special_Residues</t>
  </si>
  <si>
    <t xml:space="preserve">Special-residue incorporation (D-aa, ncAA, Nle, homoArg/Cit)</t>
  </si>
  <si>
    <t xml:space="preserve">D-Xaa (any), Nle, homoArg, Cit, generic ncAA</t>
  </si>
  <si>
    <t xml:space="preserve">Swap a standard Fmoc-amino acid bottle for a pre-protected special building block. No NEW reaction - same SPPS cycle.</t>
  </si>
  <si>
    <t xml:space="preserve">Automated - just load the extra building block. Flag hindered residues for double-coupling in the program.</t>
  </si>
  <si>
    <t xml:space="preserve">Cost and lead-time of exotic ncAA. Incomplete coupling of bulky residues - monitor by test cleavage.</t>
  </si>
  <si>
    <t xml:space="preserve">03_N_Methylation</t>
  </si>
  <si>
    <t xml:space="preserve">Backbone N-methylation</t>
  </si>
  <si>
    <t xml:space="preserve">Backbone amide N (any residue); Fmoc-N(Me)-Xaa-OH</t>
  </si>
  <si>
    <t xml:space="preserve">Methyl group on the backbone nitrogen - improves protease resistance and permeability.</t>
  </si>
  <si>
    <t xml:space="preserve">Building-block route: automated. On-resin Fukuyama: partially manual (3 extra steps per site).</t>
  </si>
  <si>
    <t xml:space="preserve">The residue AFTER an N-Me site couples slowly - use HATU/COMU + double-couple. Diketopiperazine risk at C-terminal N-Me.</t>
  </si>
  <si>
    <t xml:space="preserve">04_C_Term_Amidation</t>
  </si>
  <si>
    <t xml:space="preserve">C-terminal amidation</t>
  </si>
  <si>
    <t xml:space="preserve">C-terminal residue (any)</t>
  </si>
  <si>
    <t xml:space="preserve">Free C-terminus becomes -CONH2 (mimics natural amidated peptides; blocks carboxypeptidases).</t>
  </si>
  <si>
    <t xml:space="preserve">Automated (resin selection). Zero extra steps.</t>
  </si>
  <si>
    <t xml:space="preserve">Must be decided BEFORE synthesis - cannot convert acid to amide post-cleavage easily.</t>
  </si>
  <si>
    <t xml:space="preserve">05_N_Term_Acetylation</t>
  </si>
  <si>
    <t xml:space="preserve">N-terminal acetylation</t>
  </si>
  <si>
    <t xml:space="preserve">N-terminal alpha-amine</t>
  </si>
  <si>
    <t xml:space="preserve">Cap the N-terminus with an acetyl group (blocks aminopeptidases, removes +1 charge).</t>
  </si>
  <si>
    <t xml:space="preserve">Automated capping step.</t>
  </si>
  <si>
    <t xml:space="preserve">Ensure complete final Fmoc removal first. Incomplete acetylation gives +peptide impurity - check by LC-MS.</t>
  </si>
  <si>
    <t xml:space="preserve">06_Lipidation</t>
  </si>
  <si>
    <t xml:space="preserve">Lipidation - fatty-acid / diacid conjugation</t>
  </si>
  <si>
    <t xml:space="preserve">Lys (side-chain epsilon-amine). Watch Cys(Trt), His(Trt), Asn/Gln(Trt).</t>
  </si>
  <si>
    <t xml:space="preserve">Attach a fatty chain (e.g. C16/C18 diacid) via a spacer to a Lys side chain - the albumin-binding, long-acting motif of semaglutide / tirzepatide.</t>
  </si>
  <si>
    <t xml:space="preserve">Mostly automatable if reagents are plumbed; Mtt removal + lipid coupling often done as a manual on-resin insert.</t>
  </si>
  <si>
    <t xml:space="preserve">MAJOR TRAP: repeated 1% TFA/DCM for Mtt removal ALSO erodes acid-labile trityl groups - Cys(Trt), His(Trt), Asn/Gln(Trt). Use ivDde (hydrazine) or Alloc (Pd) when Trt-protected residues are present. Also: incomplete Mtt removal; lipid solubility (add DMSO/NMP). 87 analogs also carry N-methylation - sequence the steps.</t>
  </si>
  <si>
    <t xml:space="preserve">07_PEGylation</t>
  </si>
  <si>
    <t xml:space="preserve">PEGylation</t>
  </si>
  <si>
    <t xml:space="preserve">On-resin: any position (PEG acid building block). Solution: Cys (maleimide) or N-term/Lys (NHS ester).</t>
  </si>
  <si>
    <t xml:space="preserve">Attach polyethylene glycol - increases size/solubility, reduces renal clearance and immunogenicity.</t>
  </si>
  <si>
    <t xml:space="preserve">Discrete PEG on-resin: automated. Large mPEG: manual solution step + purification.</t>
  </si>
  <si>
    <t xml:space="preserve">mPEG is polydisperse (unless discrete) - broad LC-MS. Maleimide needs a free Cys with no competing thiols.</t>
  </si>
  <si>
    <t xml:space="preserve">08_Glycosylation</t>
  </si>
  <si>
    <t xml:space="preserve">Glycosylation</t>
  </si>
  <si>
    <t xml:space="preserve">Ser, Thr (O-linked); Asn (N-linked)</t>
  </si>
  <si>
    <t xml:space="preserve">Attach a sugar (e.g. GalNAc, mannose) at Ser/Thr (O-linked) or Asn (N-linked) - modulates stability, solubility, targeting.</t>
  </si>
  <si>
    <t xml:space="preserve">Automated incorporation; de-O-acetylation is a manual solution step.</t>
  </si>
  <si>
    <t xml:space="preserve">Glyco-building blocks costly and limited availability. Base deprotection can epimerize or cleave sensitive bonds - control pH and time.</t>
  </si>
  <si>
    <t xml:space="preserve">09_Cyclization</t>
  </si>
  <si>
    <t xml:space="preserve">Cyclization - head-to-tail and side-chain lactam</t>
  </si>
  <si>
    <t xml:space="preserve">Head-to-tail: N-term + C-term. Side-chain lactam: Asp/Glu(OAllyl) + Lys/Orn(Alloc).</t>
  </si>
  <si>
    <t xml:space="preserve">Form a macrocycle via an amide bond - rigidifies structure, boosts protease resistance and affinity.</t>
  </si>
  <si>
    <t xml:space="preserve">On-resin lactam: partially automated. Solution head-to-tail: manual (dilution + purification).</t>
  </si>
  <si>
    <t xml:space="preserve">Oligomerization at high concentration. Epimerization of the C-terminal residue during activation. Uronium reagents (HATU) can GUANIDINYLATE the free N-terminus in slow head-to-tail closures - PyAOP or DIC-additive often safer. Incomplete Pd deprotection.</t>
  </si>
  <si>
    <t xml:space="preserve">10_Hydrocarbon_Stapling</t>
  </si>
  <si>
    <t xml:space="preserve">Hydrocarbon stapling - ring-closing metathesis (RCM)</t>
  </si>
  <si>
    <t xml:space="preserve">S5 (i,i+4); R8 + S5 (i,i+7) - alpha-methyl, alpha-alkenyl residues at solvent-face positions</t>
  </si>
  <si>
    <t xml:space="preserve">Covalent all-hydrocarbon crosslink locking an alpha-helix (our MDM2/MCL1 staples, ATSP-7041 scaffold).</t>
  </si>
  <si>
    <t xml:space="preserve">Building-block coupling automated; RCM step usually a MANUAL on-resin insert (catalyst handling).</t>
  </si>
  <si>
    <t xml:space="preserve">Incomplete RCM (cis/trans alkene mix). Residual Ru - scavenge, QC by ICP-MS. Slow coupling around the staple.</t>
  </si>
  <si>
    <t xml:space="preserve">11_Disulfide</t>
  </si>
  <si>
    <t xml:space="preserve">Disulfide formation and surrogates</t>
  </si>
  <si>
    <t xml:space="preserve">Cys (Trt / Acm). Sec for diselenide. Watch Tyr, Trp (I2 sensitivity).</t>
  </si>
  <si>
    <t xml:space="preserve">Form S-S bridges (or protease-stable mimics) - key for constrained / multi-bridge peptides.</t>
  </si>
  <si>
    <t xml:space="preserve">SPPS automated; oxidative folding is a MANUAL solution step + purification.</t>
  </si>
  <si>
    <t xml:space="preserve">Scrambling with more than one bridge - regioselective strategy essential. Over-oxidation. I2 can modify Tyr/Trp.</t>
  </si>
  <si>
    <t xml:space="preserve">12_Biaryl_BisAlkylation</t>
  </si>
  <si>
    <t xml:space="preserve">Biaryl / bis-alkylation side-chain crosslinks</t>
  </si>
  <si>
    <t xml:space="preserve">Cys + Cys (bis-alkylation). Aryl-halide residue + aryl-boronate residue (Suzuki biaryl).</t>
  </si>
  <si>
    <t xml:space="preserve">Non-native covalent crosslink (e.g. bis-benzyl bridge between two Cys, or a biaryl) - alternative macrocyclization.</t>
  </si>
  <si>
    <t xml:space="preserve">Building blocks automated; crosslink is a MANUAL step.</t>
  </si>
  <si>
    <t xml:space="preserve">On-resin intramolecular Suzuki is demanding (aqueous base + heat + Pd, both partners pre-installed). Regiochemistry / over-alkylation for bis-alkylation. Pd removal - ICP-MS QC. CASE-SPECIFIC: confirm exact bridge design with team.</t>
  </si>
  <si>
    <t xml:space="preserve">13_Aza_Peptide</t>
  </si>
  <si>
    <t xml:space="preserve">Aza-peptide bond</t>
  </si>
  <si>
    <t xml:space="preserve">Aza-Xaa (carbazate / semicarbazide surrogate) at target position</t>
  </si>
  <si>
    <t xml:space="preserve">Replace an alpha-carbon with nitrogen (aza-residue) - blocks proteolysis at that bond, alters conformation.</t>
  </si>
  <si>
    <t xml:space="preserve">Automatable if building block available; often a manual insert.</t>
  </si>
  <si>
    <t xml:space="preserve">Slow / incomplete coupling after the aza-N. Hydrazide side reactions. Confirm building-block availability.</t>
  </si>
  <si>
    <t xml:space="preserve">14_Retro_Inverso</t>
  </si>
  <si>
    <t xml:space="preserve">Retro-inverso peptides</t>
  </si>
  <si>
    <t xml:space="preserve">All residues as D-enantiomers; gem-diaminoalkyl at new N-term, malonyl at new C-term</t>
  </si>
  <si>
    <t xml:space="preserve">Rebuild the sequence with ALL D-amino acids in REVERSED order - near-identical side-chain topology, but protease-invisible.</t>
  </si>
  <si>
    <t xml:space="preserve">Fully automated (all-D bottle set). It is a design change, not new chemistry.</t>
  </si>
  <si>
    <t xml:space="preserve">D-AA cost. A true topological mimic needs the terminal adjustments - omitting them gives only a partial retro-inverso.</t>
  </si>
  <si>
    <t xml:space="preserve">15_Charge_Hybrids</t>
  </si>
  <si>
    <t xml:space="preserve">Charge modulation and sequence edits (+ HYBRIDS)</t>
  </si>
  <si>
    <t xml:space="preserve">Lys, Arg, Glu, Asp and others (point substitutions); hybrids touch multiple</t>
  </si>
  <si>
    <t xml:space="preserve">Point substitutions to tune charge/stability (e.g. Lys-&gt;Arg, add Glu), and HYBRIDS that combine two modification families on one peptide.</t>
  </si>
  <si>
    <t xml:space="preserve">Sequence edits automated; hybrids need a carefully ordered program + likely manual inserts.</t>
  </si>
  <si>
    <t xml:space="preserve">Orthogonality clashes in hybrids - protecting-group compatibility is the MAIN failure mode. Plan the PG scheme first.</t>
  </si>
  <si>
    <t xml:space="preserve">TOTAL modification analogs (excl. SPPS foundation)</t>
  </si>
  <si>
    <t xml:space="preserve">Amino Acid Index - which chemistries touch each residue</t>
  </si>
  <si>
    <t xml:space="preserve">Residue-first view. Use this to answer 'what happens to my Lys / Cys / Ser?' then jump to the numbered tab for the full step-by-step and reagents. Rows flagged in orange are protecting-group clashes or side reactions - read these before designing any hybrid.</t>
  </si>
  <si>
    <t xml:space="preserve">Residue / site</t>
  </si>
  <si>
    <t xml:space="preserve">Role or chemistry</t>
  </si>
  <si>
    <t xml:space="preserve">Go to tab</t>
  </si>
  <si>
    <t xml:space="preserve">What happens (from deck)</t>
  </si>
  <si>
    <t xml:space="preserve">Watch out for</t>
  </si>
  <si>
    <t xml:space="preserve">Confirmed vs SOP?</t>
  </si>
  <si>
    <t xml:space="preserve">Lys (K)</t>
  </si>
  <si>
    <t xml:space="preserve">Lipidation</t>
  </si>
  <si>
    <t xml:space="preserve">Side-chain epsilon-amine is the conjugation point. Needs orthogonal PG: Mtt (1% TFA/DCM), ivDde (2% hydrazine/DMF), or Alloc (Pd(PPh3)4/PhSiH3).</t>
  </si>
  <si>
    <t xml:space="preserve">Mtt removal erodes Trt groups - see clash note</t>
  </si>
  <si>
    <t xml:space="preserve">mPEG-NHS ester acylates Lys side chain / N-term at pH 8-9.</t>
  </si>
  <si>
    <t xml:space="preserve">Amine-selective; not site-specific if multiple Lys</t>
  </si>
  <si>
    <t xml:space="preserve">Cyclization (side-chain lactam)</t>
  </si>
  <si>
    <t xml:space="preserve">Lys(Alloc) pairs with Asp/Glu(OAllyl); Pd removes both, then PyAOP/DIPEA closes the lactam.</t>
  </si>
  <si>
    <t xml:space="preserve">Orn may substitute for Lys</t>
  </si>
  <si>
    <t xml:space="preserve">Charge modulation</t>
  </si>
  <si>
    <t xml:space="preserve">Lys-&gt;Arg substitution to tune charge.</t>
  </si>
  <si>
    <t xml:space="preserve">Bottle swap, no new chemistry</t>
  </si>
  <si>
    <t xml:space="preserve">Orn</t>
  </si>
  <si>
    <t xml:space="preserve">Orn(Alloc) is the shorter-chain alternative to Lys(Alloc) for lactam bridges.</t>
  </si>
  <si>
    <t xml:space="preserve">Building-block availability</t>
  </si>
  <si>
    <t xml:space="preserve">Cys (C)</t>
  </si>
  <si>
    <t xml:space="preserve">Disulfide formation</t>
  </si>
  <si>
    <t xml:space="preserve">Free Cys pairs oxidized by air/DMSO at pH 7-8, high dilution. Multi-bridge needs orthogonal Cys(Trt)/Cys(Acm) + I2.</t>
  </si>
  <si>
    <t xml:space="preserve">Scrambling risk with &gt;1 bridge</t>
  </si>
  <si>
    <t xml:space="preserve">PEGylation (maleimide)</t>
  </si>
  <si>
    <t xml:space="preserve">mPEG-maleimide forms a thioether at pH 6.5-7.5.</t>
  </si>
  <si>
    <t xml:space="preserve">Needs a FREE Cys with no competing thiols</t>
  </si>
  <si>
    <t xml:space="preserve">Bis-alkylation crosslink</t>
  </si>
  <si>
    <t xml:space="preserve">Two Cys + alpha,alpha'-dibromo-xylene, double SN2, base - stable thioether staple.</t>
  </si>
  <si>
    <t xml:space="preserve">Over-alkylation / regiochemistry risk</t>
  </si>
  <si>
    <t xml:space="preserve">PG clash with lipidation</t>
  </si>
  <si>
    <t xml:space="preserve">Cys(Trt) is acid-labile - repeated 1% TFA/DCM Mtt removal erodes it.</t>
  </si>
  <si>
    <t xml:space="preserve">USE ivDde or Alloc INSTEAD OF Mtt</t>
  </si>
  <si>
    <t xml:space="preserve">His (H)</t>
  </si>
  <si>
    <t xml:space="preserve">His(Trt) is acid-labile - eroded by repeated 1% TFA/DCM Mtt removal.</t>
  </si>
  <si>
    <t xml:space="preserve">Asn (N)</t>
  </si>
  <si>
    <t xml:space="preserve">Glycosylation (N-linked)</t>
  </si>
  <si>
    <t xml:space="preserve">N-linked sugar attachment point; pre-formed Fmoc-glyco-AA building block.</t>
  </si>
  <si>
    <t xml:space="preserve">Custom / expensive building block</t>
  </si>
  <si>
    <t xml:space="preserve">Asn (N) / Gln (Q)</t>
  </si>
  <si>
    <t xml:space="preserve">Asn(Trt) / Gln(Trt) are acid-labile - eroded by repeated 1% TFA/DCM Mtt removal.</t>
  </si>
  <si>
    <t xml:space="preserve">Ser (S)</t>
  </si>
  <si>
    <t xml:space="preserve">Glycosylation (O-linked)</t>
  </si>
  <si>
    <t xml:space="preserve">O-linked sugar attachment point (e.g. Fmoc-Ser(Ac3-GalNAc)-OH).</t>
  </si>
  <si>
    <t xml:space="preserve">Zemplen de-O-acetylation after cleavage</t>
  </si>
  <si>
    <t xml:space="preserve">Thr (T)</t>
  </si>
  <si>
    <t xml:space="preserve">O-linked sugar attachment point (e.g. Fmoc-Thr(Ac3-alpha-GalNAc)-OH).</t>
  </si>
  <si>
    <t xml:space="preserve">Asp (D) / Glu (E)</t>
  </si>
  <si>
    <t xml:space="preserve">Asp/Glu(OAllyl) is the acid partner for the lactam bridge; Pd removes allyl.</t>
  </si>
  <si>
    <t xml:space="preserve">Pair with Lys/Orn(Alloc)</t>
  </si>
  <si>
    <t xml:space="preserve">Glu (E)</t>
  </si>
  <si>
    <t xml:space="preserve">Added to tune net charge.</t>
  </si>
  <si>
    <t xml:space="preserve">Bottle swap</t>
  </si>
  <si>
    <t xml:space="preserve">Glu (E) - gamma</t>
  </si>
  <si>
    <t xml:space="preserve">Lipidation spacer</t>
  </si>
  <si>
    <t xml:space="preserve">Fmoc-gamma-Glu-OtBu is the standard first spacer between Lys and the fatty diacid.</t>
  </si>
  <si>
    <t xml:space="preserve">tBu removed at global cleavage</t>
  </si>
  <si>
    <t xml:space="preserve">Tyr (Y) / Trp (W)</t>
  </si>
  <si>
    <t xml:space="preserve">Side-reaction risk</t>
  </si>
  <si>
    <t xml:space="preserve">I2 (used for Acm removal + oxidation) can MODIFY Tyr and Trp.</t>
  </si>
  <si>
    <t xml:space="preserve">Monitor by LC-MS; consider alternative oxidant</t>
  </si>
  <si>
    <t xml:space="preserve">Arg (R)</t>
  </si>
  <si>
    <t xml:space="preserve">Charge modulation / special residue</t>
  </si>
  <si>
    <t xml:space="preserve">Lys-&gt;Arg substitution; homoArg(Pbf) available as special building block.</t>
  </si>
  <si>
    <t xml:space="preserve">Pbf side-chain PG</t>
  </si>
  <si>
    <t xml:space="preserve">Cit / homoArg</t>
  </si>
  <si>
    <t xml:space="preserve">Special-residue incorporation</t>
  </si>
  <si>
    <t xml:space="preserve">Fmoc-Cit-OH, Fmoc-homoArg(Pbf)-OH - charge-neutral Arg surrogates.</t>
  </si>
  <si>
    <t xml:space="preserve">Nle</t>
  </si>
  <si>
    <t xml:space="preserve">Fmoc-Nle-OH - Met surrogate, avoids oxidation.</t>
  </si>
  <si>
    <t xml:space="preserve">D-Xaa (any)</t>
  </si>
  <si>
    <t xml:space="preserve">Special residues / retro-inverso</t>
  </si>
  <si>
    <t xml:space="preserve">Fmoc-D-Xaa-OH at target position; full D-set for retro-inverso.</t>
  </si>
  <si>
    <t xml:space="preserve">See 14_Retro_Inverso for full-sequence version</t>
  </si>
  <si>
    <t xml:space="preserve">S5 / R8</t>
  </si>
  <si>
    <t xml:space="preserve">Hydrocarbon stapling</t>
  </si>
  <si>
    <t xml:space="preserve">Fmoc-(S)-2-(4'-pentenyl)Ala (S5) at i,i+4; R8+S5 at i,i+7. alpha,alpha-disubstituted - couple slowly.</t>
  </si>
  <si>
    <t xml:space="preserve">Double-couple with HATU; RCM with Grubbs</t>
  </si>
  <si>
    <t xml:space="preserve">Aza-Xaa</t>
  </si>
  <si>
    <t xml:space="preserve">Carbazate / semicarbazide surrogate replacing the alpha-carbon.</t>
  </si>
  <si>
    <t xml:space="preserve">Coupling AFTER the aza-N is sluggish</t>
  </si>
  <si>
    <t xml:space="preserve">Backbone N (any residue)</t>
  </si>
  <si>
    <t xml:space="preserve">N-methylation</t>
  </si>
  <si>
    <t xml:space="preserve">Fmoc-N(Me)-Xaa-OH preferred; on-resin Fukuyama (o-NBS) as fallback.</t>
  </si>
  <si>
    <t xml:space="preserve">Residue AFTER N-Me couples slowly</t>
  </si>
  <si>
    <t xml:space="preserve">Ac2O + DIPEA in DMF, 20-30 min, after final Fmoc removal.</t>
  </si>
  <si>
    <t xml:space="preserve">Also the mPEG-NHS / fatty-acyl cap site</t>
  </si>
  <si>
    <t xml:space="preserve">Side reaction in cyclization</t>
  </si>
  <si>
    <t xml:space="preserve">HATU can GUANIDINYLATE a free N-terminus in slow head-to-tail closures.</t>
  </si>
  <si>
    <t xml:space="preserve">Prefer PyAOP or DIC-additive</t>
  </si>
  <si>
    <t xml:space="preserve">C-terminal residue</t>
  </si>
  <si>
    <t xml:space="preserve">Rink amide resin chosen at START of synthesis; TFA cleavage releases -CONH2.</t>
  </si>
  <si>
    <t xml:space="preserve">Cannot be converted post-cleavage</t>
  </si>
  <si>
    <t xml:space="preserve">Epimerization risk</t>
  </si>
  <si>
    <t xml:space="preserve">C-terminal residue can epimerize during activation for macrolactamization.</t>
  </si>
  <si>
    <t xml:space="preserve">Monitor by analytical HPLC</t>
  </si>
  <si>
    <t xml:space="preserve">C-terminal N-Me residue</t>
  </si>
  <si>
    <t xml:space="preserve">Diketopiperazine risk</t>
  </si>
  <si>
    <t xml:space="preserve">DKP formation risk when the N-Me site is at the C-terminus.</t>
  </si>
  <si>
    <t xml:space="preserve">Design consideration</t>
  </si>
  <si>
    <t xml:space="preserve">Analogs: 1740   ·   Deck slide 3   ·   Residues/sites: All residues; resin choice sets C-terminus</t>
  </si>
  <si>
    <t xml:space="preserve">REACTION STEPS   —   white = from deck   ·   yellow = fill in</t>
  </si>
  <si>
    <t xml:space="preserve">Step</t>
  </si>
  <si>
    <t xml:space="preserve">Reagents named in deck</t>
  </si>
  <si>
    <t xml:space="preserve">Conditions from deck</t>
  </si>
  <si>
    <t xml:space="preserve">SymphonyX vs manual</t>
  </si>
  <si>
    <t xml:space="preserve">Exact reagent + grade</t>
  </si>
  <si>
    <t xml:space="preserve">CAS</t>
  </si>
  <si>
    <t xml:space="preserve">Supplier / Cat #</t>
  </si>
  <si>
    <t xml:space="preserve">MW</t>
  </si>
  <si>
    <t xml:space="preserve">Equiv</t>
  </si>
  <si>
    <t xml:space="preserve">Solvent &amp; conc.</t>
  </si>
  <si>
    <t xml:space="preserve">Temp</t>
  </si>
  <si>
    <t xml:space="preserve">Time</t>
  </si>
  <si>
    <t xml:space="preserve">Lead time</t>
  </si>
  <si>
    <t xml:space="preserve">SOP ref</t>
  </si>
  <si>
    <t xml:space="preserve">Notes</t>
  </si>
  <si>
    <t xml:space="preserve">1</t>
  </si>
  <si>
    <t xml:space="preserve">Swell resin</t>
  </si>
  <si>
    <t xml:space="preserve">Rink amide (for C-amide); Wang or 2-chlorotrityl (for free acid)</t>
  </si>
  <si>
    <t xml:space="preserve">RT; resin swelling in DMF/DCM</t>
  </si>
  <si>
    <t xml:space="preserve">Automated (SymphonyX)</t>
  </si>
  <si>
    <t xml:space="preserve">2</t>
  </si>
  <si>
    <t xml:space="preserve">Fmoc removal</t>
  </si>
  <si>
    <t xml:space="preserve">20% piperidine / DMF</t>
  </si>
  <si>
    <t xml:space="preserve">2 x (3-8 min), RT</t>
  </si>
  <si>
    <t xml:space="preserve">3</t>
  </si>
  <si>
    <t xml:space="preserve">Coupling</t>
  </si>
  <si>
    <t xml:space="preserve">Fmoc-AA (4 eq) + activator. Uronium/aminium (HATU/HBTU) ALSO require tertiary base (DIPEA). DIC/Oxyma runs base-free.</t>
  </si>
  <si>
    <t xml:space="preserve">30-60 min; RT, or 40-50 C on heated SymphonyX for difficult sequences</t>
  </si>
  <si>
    <t xml:space="preserve">4</t>
  </si>
  <si>
    <t xml:space="preserve">Wash and repeat</t>
  </si>
  <si>
    <t xml:space="preserve">DMF x3</t>
  </si>
  <si>
    <t xml:space="preserve">Repeat steps 2-4 per residue until chain complete. Inert wash.</t>
  </si>
  <si>
    <t xml:space="preserve">REAGENTS NAMED IN THE DECK   (consolidated for this family)</t>
  </si>
  <si>
    <t xml:space="preserve">#</t>
  </si>
  <si>
    <t xml:space="preserve">Reagent (from deck)</t>
  </si>
  <si>
    <t xml:space="preserve">Exact grade / form</t>
  </si>
  <si>
    <t xml:space="preserve">Pack size</t>
  </si>
  <si>
    <t xml:space="preserve">Qty needed</t>
  </si>
  <si>
    <t xml:space="preserve">In stock?</t>
  </si>
  <si>
    <t xml:space="preserve">Activators: DIC/Oxyma (economical, low-racemization, base-free) OR HATU/HBTU + DIPEA base (fast)</t>
  </si>
  <si>
    <t xml:space="preserve">Fmoc-amino acids, side-chain protected (tBu, Trt, Boc, Pbf, OtBu)</t>
  </si>
  <si>
    <t xml:space="preserve">Piperidine (20% in DMF) for Fmoc removal</t>
  </si>
  <si>
    <t xml:space="preserve">Resins: Rink amide MBHA / ChemMatrix; Wang; 2-chlorotrityl (2-CTC)</t>
  </si>
  <si>
    <t xml:space="preserve">CONDITIONS</t>
  </si>
  <si>
    <t xml:space="preserve">RT (or 40-50 C on heated SymphonyX for difficult sequences). Inert wash.</t>
  </si>
  <si>
    <t xml:space="preserve">SYMPHONYX vs MANUAL</t>
  </si>
  <si>
    <t xml:space="preserve">RISKS / QC</t>
  </si>
  <si>
    <t xml:space="preserve">ALTERNATIVES</t>
  </si>
  <si>
    <t xml:space="preserve">Manual synthesis is identical chemistry; slower, needed only for special on-resin steps SymphonyX cannot automate.</t>
  </si>
  <si>
    <t xml:space="preserve">REVIEWER NOTES</t>
  </si>
  <si>
    <t xml:space="preserve">Analogs: 313   ·   Deck slide 4   ·   Residues/sites: D-Xaa (any), Nle, homoArg, Cit, generic ncAA</t>
  </si>
  <si>
    <t xml:space="preserve">Substitute building block at target position</t>
  </si>
  <si>
    <t xml:space="preserve">Fmoc-D-Xaa-OH, Fmoc-Nle-OH, Fmoc-homoArg(Pbf)-OH, Fmoc-Cit-OH, or Fmoc-ncAA-OH</t>
  </si>
  <si>
    <t xml:space="preserve">Same as standard SPPS cycle</t>
  </si>
  <si>
    <t xml:space="preserve">Automated - load the extra building block</t>
  </si>
  <si>
    <t xml:space="preserve">Handle hindered ncAA</t>
  </si>
  <si>
    <t xml:space="preserve">HATU or COMU (consider); double-couple</t>
  </si>
  <si>
    <t xml:space="preserve">Beta-branched and alpha,alpha-disubstituted residues: double-couple, consider elevated temperature</t>
  </si>
  <si>
    <t xml:space="preserve">Flag hindered residues for double-coupling in the program</t>
  </si>
  <si>
    <t xml:space="preserve">Commercial pre-protected special Fmoc building blocks (availability is the real gate)</t>
  </si>
  <si>
    <t xml:space="preserve">Same as SPPS; longer / repeated coupling for bulky residues.</t>
  </si>
  <si>
    <t xml:space="preserve">None needed - building-block swap.</t>
  </si>
  <si>
    <t xml:space="preserve">Analogs: 154   ·   Deck slide 5   ·   Residues/sites: Backbone amide N (any residue); Fmoc-N(Me)-Xaa-OH</t>
  </si>
  <si>
    <t xml:space="preserve">1 (PREFERRED)</t>
  </si>
  <si>
    <t xml:space="preserve">Incorporate N-methyl building block directly</t>
  </si>
  <si>
    <t xml:space="preserve">Fmoc-N(Me)-Xaa-OH (commercial for common AAs)</t>
  </si>
  <si>
    <t xml:space="preserve">Standard SPPS cycle, on-resin, RT</t>
  </si>
  <si>
    <t xml:space="preserve">Automated</t>
  </si>
  <si>
    <t xml:space="preserve">2a (ON-RESIN alt)</t>
  </si>
  <si>
    <t xml:space="preserve">Fukuyama route - protect amine as o-NBS</t>
  </si>
  <si>
    <t xml:space="preserve">o-nitrobenzenesulfonyl chloride (o-NBS-Cl), collidine</t>
  </si>
  <si>
    <t xml:space="preserve">On-resin, RT</t>
  </si>
  <si>
    <t xml:space="preserve">Partially manual (3 extra steps per site)</t>
  </si>
  <si>
    <t xml:space="preserve">2b (ON-RESIN alt)</t>
  </si>
  <si>
    <t xml:space="preserve">N-methylate</t>
  </si>
  <si>
    <t xml:space="preserve">Mitsunobu (MeOH, DIAD, PPh3) OR DBU / dimethyl sulfate</t>
  </si>
  <si>
    <t xml:space="preserve">Manual</t>
  </si>
  <si>
    <t xml:space="preserve">2c (ON-RESIN alt)</t>
  </si>
  <si>
    <t xml:space="preserve">Remove o-NBS</t>
  </si>
  <si>
    <t xml:space="preserve">2-mercaptoethanol, DBU</t>
  </si>
  <si>
    <t xml:space="preserve">Fmoc-N(Me)-AA-OH</t>
  </si>
  <si>
    <t xml:space="preserve">o-NBS-Cl</t>
  </si>
  <si>
    <t xml:space="preserve">PPh3 / DIAD / MeOH (Mitsunobu)</t>
  </si>
  <si>
    <t xml:space="preserve">2-mercaptoethanol / DBU</t>
  </si>
  <si>
    <t xml:space="preserve">Collidine</t>
  </si>
  <si>
    <t xml:space="preserve">Dimethyl sulfate (alt methylating agent)</t>
  </si>
  <si>
    <t xml:space="preserve">On-resin, RT. Coupling ONTO the N-Me nitrogen is slow.</t>
  </si>
  <si>
    <t xml:space="preserve">Building-block route strongly preferred over on-resin for reproducibility.</t>
  </si>
  <si>
    <t xml:space="preserve">Analogs: 52   ·   Deck slide 6   ·   Residues/sites: C-terminal residue (any)</t>
  </si>
  <si>
    <t xml:space="preserve">Choose Rink amide resin at the START of synthesis</t>
  </si>
  <si>
    <t xml:space="preserve">Rink amide MBHA / ChemMatrix resin</t>
  </si>
  <si>
    <t xml:space="preserve">No separate reaction - determined by resin choice</t>
  </si>
  <si>
    <t xml:space="preserve">Standard TFA cleavage releases the C-terminal amide directly</t>
  </si>
  <si>
    <t xml:space="preserve">Standard TFA cleavage cocktail</t>
  </si>
  <si>
    <t xml:space="preserve">Standard global cleavage</t>
  </si>
  <si>
    <t xml:space="preserve">Automated / standard</t>
  </si>
  <si>
    <t xml:space="preserve">No separate reaction - determined by resin choice.</t>
  </si>
  <si>
    <t xml:space="preserve">Solution-phase amidation of a free acid is possible but low-yield; avoid.</t>
  </si>
  <si>
    <t xml:space="preserve">Analogs: 66   ·   Deck slide 7   ·   Residues/sites: N-terminal alpha-amine</t>
  </si>
  <si>
    <t xml:space="preserve">After final Fmoc removal, treat resin with acetylating mix</t>
  </si>
  <si>
    <t xml:space="preserve">Acetic anhydride (Ac2O) + DIPEA (or pyridine) in DMF</t>
  </si>
  <si>
    <t xml:space="preserve">20-30 min, on-resin, RT, last step before cleavage</t>
  </si>
  <si>
    <t xml:space="preserve">Automated capping step</t>
  </si>
  <si>
    <t xml:space="preserve">Wash, then cleave</t>
  </si>
  <si>
    <t xml:space="preserve">DMF wash; standard cleavage cocktail</t>
  </si>
  <si>
    <t xml:space="preserve">Standard</t>
  </si>
  <si>
    <t xml:space="preserve">Acetic anhydride (Ac2O)</t>
  </si>
  <si>
    <t xml:space="preserve">DIPEA (or pyridine)</t>
  </si>
  <si>
    <t xml:space="preserve">DMF</t>
  </si>
  <si>
    <t xml:space="preserve">On-resin, RT, last step before cleavage.</t>
  </si>
  <si>
    <t xml:space="preserve">Other N-caps (formyl, propionyl, fatty acyl) use the same acylation chemistry.</t>
  </si>
  <si>
    <t xml:space="preserve">Analogs: 257   ·   Deck slide 8   ·   Residues/sites: Lys (side-chain epsilon-amine). Watch Cys(Trt), His(Trt), Asn/Gln(Trt).</t>
  </si>
  <si>
    <t xml:space="preserve">Install Lys with an orthogonal side-chain protector</t>
  </si>
  <si>
    <t xml:space="preserve">Lys(Mtt), Lys(ivDde), or Lys(Alloc)</t>
  </si>
  <si>
    <t xml:space="preserve">Standard SPPS incorporation</t>
  </si>
  <si>
    <t xml:space="preserve">Selectively deprotect</t>
  </si>
  <si>
    <t xml:space="preserve">1% TFA/DCM (Mtt); 2% hydrazine/DMF (ivDde); Pd(PPh3)4 / PhSiH3 (Alloc)</t>
  </si>
  <si>
    <t xml:space="preserve">On-resin, RT; must not touch main-chain Fmoc/tBu</t>
  </si>
  <si>
    <t xml:space="preserve">Often a manual on-resin insert</t>
  </si>
  <si>
    <t xml:space="preserve">Couple spacer(s)</t>
  </si>
  <si>
    <t xml:space="preserve">Fmoc-gamma-Glu-OtBu and/or Fmoc-AEEA-OH (mini-PEG) units</t>
  </si>
  <si>
    <t xml:space="preserve">Automatable if reagents plumbed</t>
  </si>
  <si>
    <t xml:space="preserve">Couple the fatty diacid</t>
  </si>
  <si>
    <t xml:space="preserve">C16/C18 diacid mono-tert-butyl ester (e.g. C18-diacid-OtBu); HATU / DIPEA</t>
  </si>
  <si>
    <t xml:space="preserve">On-resin, RT. Global cleavage removes tBu. Add DMSO/NMP for lipid solubility.</t>
  </si>
  <si>
    <t xml:space="preserve">Often manual on-resin insert</t>
  </si>
  <si>
    <t xml:space="preserve">Fmoc-Lys(Mtt)-OH / Fmoc-Lys(ivDde)-OH / Fmoc-Lys(Alloc)-OH</t>
  </si>
  <si>
    <t xml:space="preserve">Fmoc-gamma-Glu-OtBu</t>
  </si>
  <si>
    <t xml:space="preserve">Fmoc-AEEA-OH (mini-PEG)</t>
  </si>
  <si>
    <t xml:space="preserve">C16 / C18 diacid mono-OtBu</t>
  </si>
  <si>
    <t xml:space="preserve">HATU, DIPEA</t>
  </si>
  <si>
    <t xml:space="preserve">1% TFA/DCM; 2% hydrazine/DMF; Pd(PPh3)4 + PhSiH3</t>
  </si>
  <si>
    <t xml:space="preserve">DMSO / NMP (lipid solubility)</t>
  </si>
  <si>
    <t xml:space="preserve">On-resin, RT. Orthogonal deprotection must not touch main-chain Fmoc/tBu.</t>
  </si>
  <si>
    <t xml:space="preserve">ivDde (hydrazine-labile) or Alloc (Pd-labile) preferred when acid-labile Trt side chains are present, to avoid premature trityl loss.</t>
  </si>
  <si>
    <t xml:space="preserve">Analogs: 120   ·   Deck slide 9   ·   Residues/sites: On-resin: any position (PEG acid building block). Solution: Cys (maleimide) or N-term/Lys (NHS ester).</t>
  </si>
  <si>
    <t xml:space="preserve">1 (ON-RESIN)</t>
  </si>
  <si>
    <t xml:space="preserve">Couple discrete PEG building blocks like any residue</t>
  </si>
  <si>
    <t xml:space="preserve">Fmoc-PEGn-OH (e.g. Fmoc-8-amino-3,6-dioxaoctanoic acid)</t>
  </si>
  <si>
    <t xml:space="preserve">On-resin, RT, standard coupling</t>
  </si>
  <si>
    <t xml:space="preserve">2 (SOLUTION)</t>
  </si>
  <si>
    <t xml:space="preserve">mPEG-maleimide to Cys thioether</t>
  </si>
  <si>
    <t xml:space="preserve">mPEG-maleimide (2-40 kDa)</t>
  </si>
  <si>
    <t xml:space="preserve">Aqueous buffer pH 6.5-7.5 (thiol-selective)</t>
  </si>
  <si>
    <t xml:space="preserve">Manual solution step</t>
  </si>
  <si>
    <t xml:space="preserve">3 (SOLUTION)</t>
  </si>
  <si>
    <t xml:space="preserve">mPEG-NHS ester to N-term / Lys amide</t>
  </si>
  <si>
    <t xml:space="preserve">mPEG-NHS ester (2-40 kDa)</t>
  </si>
  <si>
    <t xml:space="preserve">Aqueous buffer pH 8-9 (amine-selective)</t>
  </si>
  <si>
    <t xml:space="preserve">Re-purify</t>
  </si>
  <si>
    <t xml:space="preserve">Prep RP-HPLC</t>
  </si>
  <si>
    <t xml:space="preserve">After solution conjugation</t>
  </si>
  <si>
    <t xml:space="preserve">Discrete Fmoc-PEG acids (e.g. Fmoc-AEEA-OH)</t>
  </si>
  <si>
    <t xml:space="preserve">Conjugation buffers (pH 6.5-7.5 thiol; pH 8-9 amine)</t>
  </si>
  <si>
    <t xml:space="preserve">On-resin RT; solution conjugation in aqueous buffer, then re-purify.</t>
  </si>
  <si>
    <t xml:space="preserve">Discrete (monodisperse) PEG preferred for characterizable product.</t>
  </si>
  <si>
    <t xml:space="preserve">Analogs: 117   ·   Deck slide 10   ·   Residues/sites: Ser, Thr (O-linked); Asn (N-linked)</t>
  </si>
  <si>
    <t xml:space="preserve">Incorporate pre-formed glyco-amino-acid building block during SPPS</t>
  </si>
  <si>
    <t xml:space="preserve">Fmoc-glycosyl-amino-acid (e.g. Fmoc-Thr(Ac3-alpha-GalNAc)-OH)</t>
  </si>
  <si>
    <t xml:space="preserve">SPPS standard</t>
  </si>
  <si>
    <t xml:space="preserve">Automated incorporation</t>
  </si>
  <si>
    <t xml:space="preserve">After cleavage, remove sugar O-acetyls</t>
  </si>
  <si>
    <t xml:space="preserve">Zemplen: catalytic NaOMe in dry MeOH (base-catalyzed transesterification) OR dilute hydrazine</t>
  </si>
  <si>
    <t xml:space="preserve">Mild base, post-cleavage; control pH and time</t>
  </si>
  <si>
    <t xml:space="preserve">Fmoc-glyco-amino-acid building blocks (custom / expensive)</t>
  </si>
  <si>
    <t xml:space="preserve">NaOMe / dry MeOH (Zemplen deacetylation)</t>
  </si>
  <si>
    <t xml:space="preserve">Dilute hydrazine (alternative deacetylation)</t>
  </si>
  <si>
    <t xml:space="preserve">SPPS standard; mild-base deprotection post-cleavage.</t>
  </si>
  <si>
    <t xml:space="preserve">Chemoenzymatic glycosylation (glycosyltransferases) for complex glycans post-synthesis.</t>
  </si>
  <si>
    <t xml:space="preserve">Analogs: 185   ·   Deck slide 11   ·   Residues/sites: Head-to-tail: N-term + C-term. Side-chain lactam: Asp/Glu(OAllyl) + Lys/Orn(Alloc).</t>
  </si>
  <si>
    <t xml:space="preserve">1 (HEAD-TO-TAIL)</t>
  </si>
  <si>
    <t xml:space="preserve">Synthesize on 2-CTC resin (side-chain anchored)</t>
  </si>
  <si>
    <t xml:space="preserve">2-chlorotrityl chloride (2-CTC) resin</t>
  </si>
  <si>
    <t xml:space="preserve">Standard SPPS</t>
  </si>
  <si>
    <t xml:space="preserve">2 (HEAD-TO-TAIL)</t>
  </si>
  <si>
    <t xml:space="preserve">Selectively free N-terminus and C-terminus, then macrolactamize</t>
  </si>
  <si>
    <t xml:space="preserve">HATU or PyAOP + DIPEA</t>
  </si>
  <si>
    <t xml:space="preserve">HIGH DILUTION (~1 mM) in solution, or on-resin; RT-40 C</t>
  </si>
  <si>
    <t xml:space="preserve">Solution route is MANUAL (dilution + purification)</t>
  </si>
  <si>
    <t xml:space="preserve">3 (SIDE-CHAIN LACTAM)</t>
  </si>
  <si>
    <t xml:space="preserve">Incorporate orthogonally protected pair</t>
  </si>
  <si>
    <t xml:space="preserve">Fmoc-Asp/Glu(OAllyl)-OH + Fmoc-Lys/Orn(Alloc)-OH</t>
  </si>
  <si>
    <t xml:space="preserve">4 (SIDE-CHAIN LACTAM)</t>
  </si>
  <si>
    <t xml:space="preserve">Remove allyl groups on-resin</t>
  </si>
  <si>
    <t xml:space="preserve">Pd(PPh3)4 + PhSiH3</t>
  </si>
  <si>
    <t xml:space="preserve">On-resin; degassed</t>
  </si>
  <si>
    <t xml:space="preserve">Partially automated</t>
  </si>
  <si>
    <t xml:space="preserve">5 (SIDE-CHAIN LACTAM)</t>
  </si>
  <si>
    <t xml:space="preserve">Couple the lactam</t>
  </si>
  <si>
    <t xml:space="preserve">PyAOP + DIPEA</t>
  </si>
  <si>
    <t xml:space="preserve">On-resin, RT-40 C</t>
  </si>
  <si>
    <t xml:space="preserve">PyAOP, HATU</t>
  </si>
  <si>
    <t xml:space="preserve">DIPEA</t>
  </si>
  <si>
    <t xml:space="preserve">Pd(PPh3)4 + PhSiH3 (for Allyl / Alloc)</t>
  </si>
  <si>
    <t xml:space="preserve">2-CTC resin</t>
  </si>
  <si>
    <t xml:space="preserve">High-dilution DMF / DCM</t>
  </si>
  <si>
    <t xml:space="preserve">High dilution (~1 mM) to suppress oligomer/dimer; RT-40 C.</t>
  </si>
  <si>
    <t xml:space="preserve">Click (CuAAC triazole) or thioether macrocyclization as non-amide surrogates.</t>
  </si>
  <si>
    <t xml:space="preserve">Analogs: 16   ·   Deck slide 12   ·   Residues/sites: S5 (i,i+4); R8 + S5 (i,i+7) - alpha-methyl, alpha-alkenyl residues at solvent-face positions</t>
  </si>
  <si>
    <t xml:space="preserve">Incorporate alpha-methyl, alpha-alkenyl Fmoc building blocks</t>
  </si>
  <si>
    <t xml:space="preserve">Fmoc-(S)-2-(4'-pentenyl)Ala (S5); Fmoc-(R)-2-(7'-octenyl)Ala (R8)</t>
  </si>
  <si>
    <t xml:space="preserve">Solvent-face positions. alpha,alpha-disubstituted residues couple slowly - double-couple, HATU.</t>
  </si>
  <si>
    <t xml:space="preserve">Building-block coupling automated</t>
  </si>
  <si>
    <t xml:space="preserve">On-resin ring-closing metathesis</t>
  </si>
  <si>
    <t xml:space="preserve">Grubbs 1st-gen catalyst (20-30 mol%), 1,2-dichloroethane (1,2-DCE)</t>
  </si>
  <si>
    <t xml:space="preserve">RT-40 C, 2 x 2 h (repeat for conversion); inert atmosphere</t>
  </si>
  <si>
    <t xml:space="preserve">MANUAL on-resin insert (catalyst handling)</t>
  </si>
  <si>
    <t xml:space="preserve">Standard cleavage</t>
  </si>
  <si>
    <t xml:space="preserve">Standard TFA cocktail</t>
  </si>
  <si>
    <t xml:space="preserve">Internal alkene may be left or reduced</t>
  </si>
  <si>
    <t xml:space="preserve">Fmoc-(S)-2-(4'-pentenyl)Ala (S5)</t>
  </si>
  <si>
    <t xml:space="preserve">Fmoc-(R)-2-(7'-octenyl)Ala (R8)</t>
  </si>
  <si>
    <t xml:space="preserve">Grubbs I catalyst (Grubbs II for hindered i,i+7)</t>
  </si>
  <si>
    <t xml:space="preserve">1,2-dichloroethane (1,2-DCE)</t>
  </si>
  <si>
    <t xml:space="preserve">HATU (for slow couplings)</t>
  </si>
  <si>
    <t xml:space="preserve">On-resin, inert atmosphere. i,i+7 (R8/S5) staples are more hindered than i,i+4 - may need Grubbs II or extended/repeated RCM.</t>
  </si>
  <si>
    <t xml:space="preserve">Lactam or triazole 'staple' surrogates avoid Grubbs/Ru if metathesis is problematic.</t>
  </si>
  <si>
    <t xml:space="preserve">Analogs: 5   ·   Deck slide 13   ·   Residues/sites: Cys (Trt / Acm). Sec for diselenide. Watch Tyr, Trp (I2 sensitivity).</t>
  </si>
  <si>
    <t xml:space="preserve">1 (NATIVE, single)</t>
  </si>
  <si>
    <t xml:space="preserve">Air or DMSO/aqueous oxidation of free Cys pairs</t>
  </si>
  <si>
    <t xml:space="preserve">DMSO / air</t>
  </si>
  <si>
    <t xml:space="preserve">Dilute, pH 7-8; high dilution to favour intramolecular</t>
  </si>
  <si>
    <t xml:space="preserve">MANUAL solution step + purification</t>
  </si>
  <si>
    <t xml:space="preserve">2 (REGIOSELECTIVE, multi)</t>
  </si>
  <si>
    <t xml:space="preserve">Orthogonal Cys protection; first bridge by air</t>
  </si>
  <si>
    <t xml:space="preserve">Cys(Trt) and Cys(Acm)</t>
  </si>
  <si>
    <t xml:space="preserve">Controlled oxidation</t>
  </si>
  <si>
    <t xml:space="preserve">MANUAL</t>
  </si>
  <si>
    <t xml:space="preserve">3 (REGIOSELECTIVE, multi)</t>
  </si>
  <si>
    <t xml:space="preserve">Second bridge by iodine (removes Acm AND oxidizes)</t>
  </si>
  <si>
    <t xml:space="preserve">I2</t>
  </si>
  <si>
    <t xml:space="preserve">Controlled; I2 can modify Tyr/Trp</t>
  </si>
  <si>
    <t xml:space="preserve">4 (SURROGATE)</t>
  </si>
  <si>
    <t xml:space="preserve">Replace S-S with a stable mimic</t>
  </si>
  <si>
    <t xml:space="preserve">Lactam; thioether (cystathionine); or diselenide (Sec) building blocks</t>
  </si>
  <si>
    <t xml:space="preserve">Per surrogate chemistry</t>
  </si>
  <si>
    <t xml:space="preserve">Varies</t>
  </si>
  <si>
    <t xml:space="preserve">DMSO / air (oxidant)</t>
  </si>
  <si>
    <t xml:space="preserve">I2 (for Acm removal + oxidation)</t>
  </si>
  <si>
    <t xml:space="preserve">Fmoc-Cys(Trt)-OH, Fmoc-Cys(Acm)-OH</t>
  </si>
  <si>
    <t xml:space="preserve">Sec or thioether building blocks (surrogates)</t>
  </si>
  <si>
    <t xml:space="preserve">High dilution to favour intramolecular; controlled oxidation.</t>
  </si>
  <si>
    <t xml:space="preserve">Diselenide folds faster and more selectively. Thioether / lactam give protease-stable, non-reducible bridges.</t>
  </si>
  <si>
    <t xml:space="preserve">Analogs: 14   ·   Deck slide 14   ·   Residues/sites: Cys + Cys (bis-alkylation). Aryl-halide residue + aryl-boronate residue (Suzuki biaryl).</t>
  </si>
  <si>
    <t xml:space="preserve">1 (BIS-ALKYLATION)</t>
  </si>
  <si>
    <t xml:space="preserve">Two Cys + dihalide arene, double SN2</t>
  </si>
  <si>
    <t xml:space="preserve">alpha,alpha'-dibromo-m/p-xylene (or dibromomethyl-arene); base (TRIS or NH4HCO3)</t>
  </si>
  <si>
    <t xml:space="preserve">Solution or on-resin; gives a stable thioether staple</t>
  </si>
  <si>
    <t xml:space="preserve">MANUAL step</t>
  </si>
  <si>
    <t xml:space="preserve">2 (BIARYL)</t>
  </si>
  <si>
    <t xml:space="preserve">On-resin Suzuki-Miyaura coupling</t>
  </si>
  <si>
    <t xml:space="preserve">Pd(0); ONE aryl HALIDE side chain + ONE aryl BORONATE side chain (NOT two halides); aqueous base</t>
  </si>
  <si>
    <t xml:space="preserve">Heat; degas. Both partners pre-installed.</t>
  </si>
  <si>
    <t xml:space="preserve">alpha,alpha'-dibromo-m-xylene / p-xylene</t>
  </si>
  <si>
    <t xml:space="preserve">Base (TRIS or NH4HCO3)</t>
  </si>
  <si>
    <t xml:space="preserve">Pd(0) catalyst</t>
  </si>
  <si>
    <t xml:space="preserve">Aryl halide amino acid + aryl boronic ester amino acid</t>
  </si>
  <si>
    <t xml:space="preserve">Solution or on-resin; degassed for Pd steps.</t>
  </si>
  <si>
    <t xml:space="preserve">Choose based on the specific brace geometry needed; thioether bis-alkylation is the most robust.</t>
  </si>
  <si>
    <t xml:space="preserve">Analogs: 117   ·   Deck slide 15   ·   Residues/sites: Aza-Xaa (carbazate / semicarbazide surrogate) at target position</t>
  </si>
  <si>
    <t xml:space="preserve">Couple a Fmoc-protected semicarbazide / aza-amino-acid surrogate</t>
  </si>
  <si>
    <t xml:space="preserve">Fmoc-aza-Xaa building blocks (hydrazine-derived); the 'residue' is a carbazate</t>
  </si>
  <si>
    <t xml:space="preserve">On-resin</t>
  </si>
  <si>
    <t xml:space="preserve">Automatable if building block available; often a manual insert</t>
  </si>
  <si>
    <t xml:space="preserve">Acylate the following residue onto the aza-nitrogen</t>
  </si>
  <si>
    <t xml:space="preserve">Strong activator: HATU or triphosgene</t>
  </si>
  <si>
    <t xml:space="preserve">On-resin; this acylation is SLUGGISH - activate well</t>
  </si>
  <si>
    <t xml:space="preserve">Often manual insert</t>
  </si>
  <si>
    <t xml:space="preserve">Fmoc-aza-Xaa building blocks (hydrazine-derived)</t>
  </si>
  <si>
    <t xml:space="preserve">HATU or triphosgene (strong activator for the post-aza coupling)</t>
  </si>
  <si>
    <t xml:space="preserve">On-resin; the acylation after an aza-residue is sluggish.</t>
  </si>
  <si>
    <t xml:space="preserve">Aza-scan building blocks are semi-custom; source early.</t>
  </si>
  <si>
    <t xml:space="preserve">Analogs: 77   ·   Deck slide 16   ·   Residues/sites: All residues as D-enantiomers; gem-diaminoalkyl at new N-term, malonyl at new C-term</t>
  </si>
  <si>
    <t xml:space="preserve">Reverse the sequence and substitute every residue with its D-enantiomer</t>
  </si>
  <si>
    <t xml:space="preserve">Full set of Fmoc-D-amino acids</t>
  </si>
  <si>
    <t xml:space="preserve">Identical to standard SPPS</t>
  </si>
  <si>
    <t xml:space="preserve">Fully automated (all-D bottle set)</t>
  </si>
  <si>
    <t xml:space="preserve">Adjust termini to preserve H-bond direction</t>
  </si>
  <si>
    <t xml:space="preserve">gem-diaminoalkyl residue at new N-term; malonyl at new C-term (where a full mimic is required)</t>
  </si>
  <si>
    <t xml:space="preserve">Automated if building blocks available</t>
  </si>
  <si>
    <t xml:space="preserve">Optional gem-diamino / malonyl terminal building blocks</t>
  </si>
  <si>
    <t xml:space="preserve">Identical to standard SPPS.</t>
  </si>
  <si>
    <t xml:space="preserve">Partial (end-capped) retro-inverso if full terminal engineering is not warranted.</t>
  </si>
  <si>
    <t xml:space="preserve">Analogs: 247   ·   Deck slide 17   ·   Residues/sites: Lys, Arg, Glu, Asp and others (point substitutions); hybrids touch multiple</t>
  </si>
  <si>
    <t xml:space="preserve">1 (SEQUENCE EDITS)</t>
  </si>
  <si>
    <t xml:space="preserve">Standard SPPS bottle swaps - no new reaction</t>
  </si>
  <si>
    <t xml:space="preserve">Standard / ncAA Fmoc building blocks</t>
  </si>
  <si>
    <t xml:space="preserve">As per standard SPPS</t>
  </si>
  <si>
    <t xml:space="preserve">2 (HYBRIDS)</t>
  </si>
  <si>
    <t xml:space="preserve">Correctly SEQUENCE the orthogonal steps</t>
  </si>
  <si>
    <t xml:space="preserve">Whichever modification reagents the hybrid requires</t>
  </si>
  <si>
    <t xml:space="preserve">Example order: build chain -&gt; on-resin lactam -&gt; Mtt removal -&gt; lipidation -&gt; cap -&gt; cleave</t>
  </si>
  <si>
    <t xml:space="preserve">Carefully ordered program + likely manual inserts</t>
  </si>
  <si>
    <t xml:space="preserve">Standard and non-canonical Fmoc building blocks</t>
  </si>
  <si>
    <t xml:space="preserve">Plus whichever modification reagents the hybrid requires</t>
  </si>
  <si>
    <t xml:space="preserve">As per each constituent family.</t>
  </si>
  <si>
    <t xml:space="preserve">Break complex hybrids into validated single-modification intermediates where possible.</t>
  </si>
  <si>
    <t xml:space="preserve">Consolidated Reagent Checklist - every reagent named in the deck</t>
  </si>
  <si>
    <t xml:space="preserve">One row per reagent mention, grouped by family. Deduplicate as you source - several reagents (HATU, DIPEA, Pd(PPh3)4, PhSiH3) appear in more than one family. Yellow columns are yours.</t>
  </si>
  <si>
    <t xml:space="preserve">Family tab</t>
  </si>
  <si>
    <t xml:space="preserve">Family</t>
  </si>
  <si>
    <t xml:space="preserve">Hazard / handling</t>
  </si>
  <si>
    <t xml:space="preserve">Order of Operations - general workflow and where each reaction fits</t>
  </si>
  <si>
    <t xml:space="preserve">Stage</t>
  </si>
  <si>
    <t xml:space="preserve">What happens</t>
  </si>
  <si>
    <t xml:space="preserve">Automation / note</t>
  </si>
  <si>
    <t xml:space="preserve">Which family tabs apply</t>
  </si>
  <si>
    <t xml:space="preserve">Confirmed?</t>
  </si>
  <si>
    <t xml:space="preserve">Resin choice</t>
  </si>
  <si>
    <t xml:space="preserve">Rink amide (C-amide) vs Wang / 2-CTC (free acid or cyclization anchor). Decided FIRST.</t>
  </si>
  <si>
    <t xml:space="preserve">Sets C-terminus and cyclization strategy</t>
  </si>
  <si>
    <t xml:space="preserve">Automated Fmoc-SPPS</t>
  </si>
  <si>
    <t xml:space="preserve">Build chain with standard + special building blocks (D-aa, ncAA, N-Me, glyco-AA, staple residues).</t>
  </si>
  <si>
    <t xml:space="preserve">SymphonyX</t>
  </si>
  <si>
    <t xml:space="preserve">On-resin modifications</t>
  </si>
  <si>
    <t xml:space="preserve">Orthogonal deprotection -&gt; lipidation / lactam / staple-RCM / crosslink, in the correct order (mind Trt compatibility).</t>
  </si>
  <si>
    <t xml:space="preserve">Mixed automated / manual</t>
  </si>
  <si>
    <t xml:space="preserve">N-terminal cap</t>
  </si>
  <si>
    <t xml:space="preserve">Acetylation or fatty-acyl, after final Fmoc removal.</t>
  </si>
  <si>
    <t xml:space="preserve">Cleavage and global deprotection</t>
  </si>
  <si>
    <t xml:space="preserve">TFA cocktail (TFA / water / TIS / EDT) - removes side-chain PGs, releases peptide.</t>
  </si>
  <si>
    <t xml:space="preserve">Solution modifications</t>
  </si>
  <si>
    <t xml:space="preserve">Disulfide folding, large mPEG conjugation, glyco de-O-acetylation, solution macrocyclization.</t>
  </si>
  <si>
    <t xml:space="preserve">Purification and QC</t>
  </si>
  <si>
    <t xml:space="preserve">Prep RP-HPLC -&gt; LC-MS (identity), analytical HPLC (purity), + ICP-MS for Ru/Pd if metathesis / Suzuki used.</t>
  </si>
  <si>
    <t xml:space="preserve">Open Decisions - what the deck says the team still owes</t>
  </si>
  <si>
    <t xml:space="preserve">Transcribed from the 'YOUR INPUT REQUIRED' slide. These gate the reagent list - several cannot be sourced until the decision is made.</t>
  </si>
  <si>
    <t xml:space="preserve">Decision required (from deck)</t>
  </si>
  <si>
    <t xml:space="preserve">Options</t>
  </si>
  <si>
    <t xml:space="preserve">Decision</t>
  </si>
  <si>
    <t xml:space="preserve">Decided by</t>
  </si>
  <si>
    <t xml:space="preserve">Date</t>
  </si>
  <si>
    <t xml:space="preserve">Impact on reagent list</t>
  </si>
  <si>
    <t xml:space="preserve">Activator standard: DIC/Oxyma (base-free, cheaper) vs HATU+DIPEA (faster) as house default?</t>
  </si>
  <si>
    <t xml:space="preserve">N-methylation route: buy Fmoc-N(Me)-AA building blocks vs on-resin Fukuyama - cost/availability per site.</t>
  </si>
  <si>
    <t xml:space="preserve">Lipidation orthogonal PG: Mtt vs ivDde vs Alloc - note Mtt/Trt clash; which fits SymphonyX plumbing?</t>
  </si>
  <si>
    <t xml:space="preserve">Staple RCM: on SymphonyX or manual? i,i+7 may need Grubbs II. Ru scavenging + ICP-MS QC capacity?</t>
  </si>
  <si>
    <t xml:space="preserve">Macrocyclization: PyAOP vs HATU (guanidinylation risk); solution high-dilution batch-size limits?</t>
  </si>
  <si>
    <t xml:space="preserve">PEG: discrete (monodisperse) vs polymeric mPEG - which per program?</t>
  </si>
  <si>
    <t xml:space="preserve">Multi-bridge disulfides: regioselective Cys(Trt)/Cys(Acm) - confirm which analogs need it.</t>
  </si>
  <si>
    <t xml:space="preserve">Which analogs are SymphonyX-only vs justify manual synthesis (staples, hybrids, solution steps)?</t>
  </si>
  <si>
    <t xml:space="preserve">Accuracy Notes &amp; Caveats - carried from the deck's final slide</t>
  </si>
  <si>
    <t xml:space="preserve">Caveat</t>
  </si>
  <si>
    <t xml:space="preserve">Detail</t>
  </si>
  <si>
    <t xml:space="preserve">Action for this review</t>
  </si>
  <si>
    <t xml:space="preserve">Done?</t>
  </si>
  <si>
    <t xml:space="preserve">Reviewed by synthesis + organic chemist agents</t>
  </si>
  <si>
    <t xml:space="preserve">Verdict 'accurate_with_fixes'; their corrections (SPPS base, Mtt/Trt clash, Suzuki mechanism) are incorporated. Still confirm against your validated SOPs.</t>
  </si>
  <si>
    <t xml:space="preserve">Building-block availability is the real gate</t>
  </si>
  <si>
    <t xml:space="preserve">Many ncAA, glyco-AA, N-Me and aza blocks are custom / long-lead - source-check early.</t>
  </si>
  <si>
    <t xml:space="preserve">Protecting-group orthogonality is the #1 hybrid failure mode</t>
  </si>
  <si>
    <t xml:space="preserve">Any 2-modification peptide needs its PG scheme planned first - especially acid-labile Trt vs Mtt.</t>
  </si>
  <si>
    <t xml:space="preserve">Metal catalysts (Grubbs Ru, Pd) require removal + ICP-MS QC</t>
  </si>
  <si>
    <t xml:space="preserve">Applies to stapling, Suzuki, and Pd-mediated Alloc / OAllyl.</t>
  </si>
  <si>
    <t xml:space="preserve">Counts from the 1,740-analog workbook (All_Analogs)</t>
  </si>
  <si>
    <t xml:space="preserve">14 modification families partition to 1,740; SPPS is the shared foundation, not a 15th modification.</t>
  </si>
  <si>
    <t xml:space="preserve">Hybrids counted once under their combined class</t>
  </si>
  <si>
    <t xml:space="preserve">e.g. 87 lipidation + N-methylation grouped with lipidation.</t>
  </si>
  <si>
    <t xml:space="preserve">Deck header note: 'ApexChem - team synthesis review · reviewed by synthesis + organic chemists · confirm vs your SOPs'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</si>
</sst>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38"/>
    <col collapsed="false" customWidth="true" hidden="false" outlineLevel="0" max="8" min="8" style="0" width="52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4" t="s">
        <v>33</v>
      </c>
    </row>
    <row r="2" customFormat="false" ht="15" hidden="false" customHeight="false" outlineLevel="0" collapsed="false">
      <c r="A2" s="5" t="s">
        <v>34</v>
      </c>
    </row>
    <row r="4" customFormat="false" ht="30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</row>
    <row r="5" customFormat="false" ht="46.25" hidden="false" customHeight="false" outlineLevel="0" collapsed="false">
      <c r="A5" s="7" t="s">
        <v>45</v>
      </c>
      <c r="B5" s="8" t="s">
        <v>46</v>
      </c>
      <c r="C5" s="9" t="n">
        <v>1740</v>
      </c>
      <c r="D5" s="9" t="n">
        <v>3</v>
      </c>
      <c r="E5" s="7" t="s">
        <v>47</v>
      </c>
      <c r="F5" s="7" t="s">
        <v>48</v>
      </c>
      <c r="G5" s="7" t="s">
        <v>49</v>
      </c>
      <c r="H5" s="10" t="s">
        <v>50</v>
      </c>
      <c r="I5" s="11"/>
      <c r="J5" s="11"/>
    </row>
    <row r="6" customFormat="false" ht="35.05" hidden="false" customHeight="false" outlineLevel="0" collapsed="false">
      <c r="A6" s="7" t="s">
        <v>51</v>
      </c>
      <c r="B6" s="8" t="s">
        <v>52</v>
      </c>
      <c r="C6" s="9" t="n">
        <v>313</v>
      </c>
      <c r="D6" s="9" t="n">
        <v>4</v>
      </c>
      <c r="E6" s="7" t="s">
        <v>53</v>
      </c>
      <c r="F6" s="7" t="s">
        <v>54</v>
      </c>
      <c r="G6" s="7" t="s">
        <v>55</v>
      </c>
      <c r="H6" s="10" t="s">
        <v>56</v>
      </c>
      <c r="I6" s="11"/>
      <c r="J6" s="11"/>
    </row>
    <row r="7" customFormat="false" ht="35.05" hidden="false" customHeight="false" outlineLevel="0" collapsed="false">
      <c r="A7" s="7" t="s">
        <v>57</v>
      </c>
      <c r="B7" s="8" t="s">
        <v>58</v>
      </c>
      <c r="C7" s="9" t="n">
        <v>154</v>
      </c>
      <c r="D7" s="9" t="n">
        <v>5</v>
      </c>
      <c r="E7" s="7" t="s">
        <v>59</v>
      </c>
      <c r="F7" s="7" t="s">
        <v>60</v>
      </c>
      <c r="G7" s="7" t="s">
        <v>61</v>
      </c>
      <c r="H7" s="10" t="s">
        <v>62</v>
      </c>
      <c r="I7" s="11"/>
      <c r="J7" s="11"/>
    </row>
    <row r="8" customFormat="false" ht="23.85" hidden="false" customHeight="false" outlineLevel="0" collapsed="false">
      <c r="A8" s="7" t="s">
        <v>63</v>
      </c>
      <c r="B8" s="8" t="s">
        <v>64</v>
      </c>
      <c r="C8" s="9" t="n">
        <v>52</v>
      </c>
      <c r="D8" s="9" t="n">
        <v>6</v>
      </c>
      <c r="E8" s="7" t="s">
        <v>65</v>
      </c>
      <c r="F8" s="7" t="s">
        <v>66</v>
      </c>
      <c r="G8" s="7" t="s">
        <v>67</v>
      </c>
      <c r="H8" s="10" t="s">
        <v>68</v>
      </c>
      <c r="I8" s="11"/>
      <c r="J8" s="11"/>
    </row>
    <row r="9" customFormat="false" ht="23.85" hidden="false" customHeight="false" outlineLevel="0" collapsed="false">
      <c r="A9" s="7" t="s">
        <v>69</v>
      </c>
      <c r="B9" s="8" t="s">
        <v>70</v>
      </c>
      <c r="C9" s="9" t="n">
        <v>66</v>
      </c>
      <c r="D9" s="9" t="n">
        <v>7</v>
      </c>
      <c r="E9" s="7" t="s">
        <v>71</v>
      </c>
      <c r="F9" s="7" t="s">
        <v>72</v>
      </c>
      <c r="G9" s="7" t="s">
        <v>73</v>
      </c>
      <c r="H9" s="10" t="s">
        <v>74</v>
      </c>
      <c r="I9" s="11"/>
      <c r="J9" s="11"/>
    </row>
    <row r="10" customFormat="false" ht="68.65" hidden="false" customHeight="false" outlineLevel="0" collapsed="false">
      <c r="A10" s="7" t="s">
        <v>75</v>
      </c>
      <c r="B10" s="8" t="s">
        <v>76</v>
      </c>
      <c r="C10" s="9" t="n">
        <v>257</v>
      </c>
      <c r="D10" s="9" t="n">
        <v>8</v>
      </c>
      <c r="E10" s="7" t="s">
        <v>77</v>
      </c>
      <c r="F10" s="7" t="s">
        <v>78</v>
      </c>
      <c r="G10" s="7" t="s">
        <v>79</v>
      </c>
      <c r="H10" s="10" t="s">
        <v>80</v>
      </c>
      <c r="I10" s="11"/>
      <c r="J10" s="11"/>
    </row>
    <row r="11" customFormat="false" ht="35.05" hidden="false" customHeight="false" outlineLevel="0" collapsed="false">
      <c r="A11" s="7" t="s">
        <v>81</v>
      </c>
      <c r="B11" s="8" t="s">
        <v>82</v>
      </c>
      <c r="C11" s="9" t="n">
        <v>120</v>
      </c>
      <c r="D11" s="9" t="n">
        <v>9</v>
      </c>
      <c r="E11" s="7" t="s">
        <v>83</v>
      </c>
      <c r="F11" s="7" t="s">
        <v>84</v>
      </c>
      <c r="G11" s="7" t="s">
        <v>85</v>
      </c>
      <c r="H11" s="10" t="s">
        <v>86</v>
      </c>
      <c r="I11" s="11"/>
      <c r="J11" s="11"/>
    </row>
    <row r="12" customFormat="false" ht="35.05" hidden="false" customHeight="false" outlineLevel="0" collapsed="false">
      <c r="A12" s="7" t="s">
        <v>87</v>
      </c>
      <c r="B12" s="8" t="s">
        <v>88</v>
      </c>
      <c r="C12" s="9" t="n">
        <v>117</v>
      </c>
      <c r="D12" s="9" t="n">
        <v>10</v>
      </c>
      <c r="E12" s="7" t="s">
        <v>89</v>
      </c>
      <c r="F12" s="7" t="s">
        <v>90</v>
      </c>
      <c r="G12" s="7" t="s">
        <v>91</v>
      </c>
      <c r="H12" s="10" t="s">
        <v>92</v>
      </c>
      <c r="I12" s="11"/>
      <c r="J12" s="11"/>
    </row>
    <row r="13" customFormat="false" ht="57.45" hidden="false" customHeight="false" outlineLevel="0" collapsed="false">
      <c r="A13" s="7" t="s">
        <v>93</v>
      </c>
      <c r="B13" s="8" t="s">
        <v>94</v>
      </c>
      <c r="C13" s="9" t="n">
        <v>185</v>
      </c>
      <c r="D13" s="9" t="n">
        <v>11</v>
      </c>
      <c r="E13" s="7" t="s">
        <v>95</v>
      </c>
      <c r="F13" s="7" t="s">
        <v>96</v>
      </c>
      <c r="G13" s="7" t="s">
        <v>97</v>
      </c>
      <c r="H13" s="10" t="s">
        <v>98</v>
      </c>
      <c r="I13" s="11"/>
      <c r="J13" s="11"/>
    </row>
    <row r="14" customFormat="false" ht="35.05" hidden="false" customHeight="false" outlineLevel="0" collapsed="false">
      <c r="A14" s="7" t="s">
        <v>99</v>
      </c>
      <c r="B14" s="8" t="s">
        <v>100</v>
      </c>
      <c r="C14" s="9" t="n">
        <v>16</v>
      </c>
      <c r="D14" s="9" t="n">
        <v>12</v>
      </c>
      <c r="E14" s="7" t="s">
        <v>101</v>
      </c>
      <c r="F14" s="7" t="s">
        <v>102</v>
      </c>
      <c r="G14" s="7" t="s">
        <v>103</v>
      </c>
      <c r="H14" s="10" t="s">
        <v>104</v>
      </c>
      <c r="I14" s="11"/>
      <c r="J14" s="11"/>
    </row>
    <row r="15" customFormat="false" ht="23.85" hidden="false" customHeight="false" outlineLevel="0" collapsed="false">
      <c r="A15" s="7" t="s">
        <v>105</v>
      </c>
      <c r="B15" s="8" t="s">
        <v>106</v>
      </c>
      <c r="C15" s="9" t="n">
        <v>5</v>
      </c>
      <c r="D15" s="9" t="n">
        <v>13</v>
      </c>
      <c r="E15" s="7" t="s">
        <v>107</v>
      </c>
      <c r="F15" s="7" t="s">
        <v>108</v>
      </c>
      <c r="G15" s="7" t="s">
        <v>109</v>
      </c>
      <c r="H15" s="10" t="s">
        <v>110</v>
      </c>
      <c r="I15" s="11"/>
      <c r="J15" s="11"/>
    </row>
    <row r="16" customFormat="false" ht="46.25" hidden="false" customHeight="false" outlineLevel="0" collapsed="false">
      <c r="A16" s="7" t="s">
        <v>111</v>
      </c>
      <c r="B16" s="8" t="s">
        <v>112</v>
      </c>
      <c r="C16" s="9" t="n">
        <v>14</v>
      </c>
      <c r="D16" s="9" t="n">
        <v>14</v>
      </c>
      <c r="E16" s="7" t="s">
        <v>113</v>
      </c>
      <c r="F16" s="7" t="s">
        <v>114</v>
      </c>
      <c r="G16" s="7" t="s">
        <v>115</v>
      </c>
      <c r="H16" s="10" t="s">
        <v>116</v>
      </c>
      <c r="I16" s="11"/>
      <c r="J16" s="11"/>
    </row>
    <row r="17" customFormat="false" ht="23.85" hidden="false" customHeight="false" outlineLevel="0" collapsed="false">
      <c r="A17" s="7" t="s">
        <v>117</v>
      </c>
      <c r="B17" s="8" t="s">
        <v>118</v>
      </c>
      <c r="C17" s="9" t="n">
        <v>117</v>
      </c>
      <c r="D17" s="9" t="n">
        <v>15</v>
      </c>
      <c r="E17" s="7" t="s">
        <v>119</v>
      </c>
      <c r="F17" s="7" t="s">
        <v>120</v>
      </c>
      <c r="G17" s="7" t="s">
        <v>121</v>
      </c>
      <c r="H17" s="10" t="s">
        <v>122</v>
      </c>
      <c r="I17" s="11"/>
      <c r="J17" s="11"/>
    </row>
    <row r="18" customFormat="false" ht="35.05" hidden="false" customHeight="false" outlineLevel="0" collapsed="false">
      <c r="A18" s="7" t="s">
        <v>123</v>
      </c>
      <c r="B18" s="8" t="s">
        <v>124</v>
      </c>
      <c r="C18" s="9" t="n">
        <v>77</v>
      </c>
      <c r="D18" s="9" t="n">
        <v>16</v>
      </c>
      <c r="E18" s="7" t="s">
        <v>125</v>
      </c>
      <c r="F18" s="7" t="s">
        <v>126</v>
      </c>
      <c r="G18" s="7" t="s">
        <v>127</v>
      </c>
      <c r="H18" s="10" t="s">
        <v>128</v>
      </c>
      <c r="I18" s="11"/>
      <c r="J18" s="11"/>
    </row>
    <row r="19" customFormat="false" ht="35.05" hidden="false" customHeight="false" outlineLevel="0" collapsed="false">
      <c r="A19" s="7" t="s">
        <v>129</v>
      </c>
      <c r="B19" s="8" t="s">
        <v>130</v>
      </c>
      <c r="C19" s="9" t="n">
        <v>247</v>
      </c>
      <c r="D19" s="9" t="n">
        <v>17</v>
      </c>
      <c r="E19" s="7" t="s">
        <v>131</v>
      </c>
      <c r="F19" s="7" t="s">
        <v>132</v>
      </c>
      <c r="G19" s="7" t="s">
        <v>133</v>
      </c>
      <c r="H19" s="10" t="s">
        <v>134</v>
      </c>
      <c r="I19" s="11"/>
      <c r="J19" s="11"/>
    </row>
    <row r="20" customFormat="false" ht="23.85" hidden="false" customHeight="false" outlineLevel="0" collapsed="false">
      <c r="B20" s="12" t="s">
        <v>135</v>
      </c>
      <c r="C20" s="13" t="n">
        <f aca="false">SUM(C6:C19)</f>
        <v>1740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62"/>
    <col collapsed="false" customWidth="true" hidden="false" outlineLevel="0" max="5" min="5" style="0" width="4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4" t="s">
        <v>136</v>
      </c>
    </row>
    <row r="2" customFormat="false" ht="27.75" hidden="false" customHeight="true" outlineLevel="0" collapsed="false">
      <c r="A2" s="14" t="s">
        <v>137</v>
      </c>
      <c r="B2" s="14"/>
      <c r="C2" s="14"/>
      <c r="D2" s="14"/>
      <c r="E2" s="14"/>
      <c r="F2" s="14"/>
    </row>
    <row r="4" customFormat="false" ht="30" hidden="false" customHeight="true" outlineLevel="0" collapsed="false">
      <c r="A4" s="6" t="s">
        <v>138</v>
      </c>
      <c r="B4" s="6" t="s">
        <v>139</v>
      </c>
      <c r="C4" s="6" t="s">
        <v>140</v>
      </c>
      <c r="D4" s="6" t="s">
        <v>141</v>
      </c>
      <c r="E4" s="6" t="s">
        <v>142</v>
      </c>
      <c r="F4" s="6" t="s">
        <v>143</v>
      </c>
    </row>
    <row r="5" customFormat="false" ht="23.85" hidden="false" customHeight="false" outlineLevel="0" collapsed="false">
      <c r="A5" s="8" t="s">
        <v>144</v>
      </c>
      <c r="B5" s="7" t="s">
        <v>145</v>
      </c>
      <c r="C5" s="7" t="s">
        <v>75</v>
      </c>
      <c r="D5" s="7" t="s">
        <v>146</v>
      </c>
      <c r="E5" s="7" t="s">
        <v>147</v>
      </c>
      <c r="F5" s="11"/>
    </row>
    <row r="6" customFormat="false" ht="15" hidden="false" customHeight="false" outlineLevel="0" collapsed="false">
      <c r="A6" s="8" t="s">
        <v>144</v>
      </c>
      <c r="B6" s="7" t="s">
        <v>82</v>
      </c>
      <c r="C6" s="7" t="s">
        <v>81</v>
      </c>
      <c r="D6" s="7" t="s">
        <v>148</v>
      </c>
      <c r="E6" s="7" t="s">
        <v>149</v>
      </c>
      <c r="F6" s="11"/>
    </row>
    <row r="7" customFormat="false" ht="23.85" hidden="false" customHeight="false" outlineLevel="0" collapsed="false">
      <c r="A7" s="8" t="s">
        <v>144</v>
      </c>
      <c r="B7" s="7" t="s">
        <v>150</v>
      </c>
      <c r="C7" s="7" t="s">
        <v>93</v>
      </c>
      <c r="D7" s="7" t="s">
        <v>151</v>
      </c>
      <c r="E7" s="7" t="s">
        <v>152</v>
      </c>
      <c r="F7" s="11"/>
    </row>
    <row r="8" customFormat="false" ht="15" hidden="false" customHeight="false" outlineLevel="0" collapsed="false">
      <c r="A8" s="8" t="s">
        <v>144</v>
      </c>
      <c r="B8" s="7" t="s">
        <v>153</v>
      </c>
      <c r="C8" s="7" t="s">
        <v>129</v>
      </c>
      <c r="D8" s="7" t="s">
        <v>154</v>
      </c>
      <c r="E8" s="7" t="s">
        <v>155</v>
      </c>
      <c r="F8" s="11"/>
    </row>
    <row r="9" customFormat="false" ht="15" hidden="false" customHeight="false" outlineLevel="0" collapsed="false">
      <c r="A9" s="8" t="s">
        <v>156</v>
      </c>
      <c r="B9" s="7" t="s">
        <v>150</v>
      </c>
      <c r="C9" s="7" t="s">
        <v>93</v>
      </c>
      <c r="D9" s="7" t="s">
        <v>157</v>
      </c>
      <c r="E9" s="7" t="s">
        <v>158</v>
      </c>
      <c r="F9" s="11"/>
    </row>
    <row r="10" customFormat="false" ht="23.85" hidden="false" customHeight="false" outlineLevel="0" collapsed="false">
      <c r="A10" s="8" t="s">
        <v>159</v>
      </c>
      <c r="B10" s="7" t="s">
        <v>160</v>
      </c>
      <c r="C10" s="7" t="s">
        <v>105</v>
      </c>
      <c r="D10" s="7" t="s">
        <v>161</v>
      </c>
      <c r="E10" s="7" t="s">
        <v>162</v>
      </c>
      <c r="F10" s="11"/>
    </row>
    <row r="11" customFormat="false" ht="15" hidden="false" customHeight="false" outlineLevel="0" collapsed="false">
      <c r="A11" s="8" t="s">
        <v>159</v>
      </c>
      <c r="B11" s="7" t="s">
        <v>163</v>
      </c>
      <c r="C11" s="7" t="s">
        <v>81</v>
      </c>
      <c r="D11" s="7" t="s">
        <v>164</v>
      </c>
      <c r="E11" s="7" t="s">
        <v>165</v>
      </c>
      <c r="F11" s="11"/>
    </row>
    <row r="12" customFormat="false" ht="23.85" hidden="false" customHeight="false" outlineLevel="0" collapsed="false">
      <c r="A12" s="8" t="s">
        <v>159</v>
      </c>
      <c r="B12" s="7" t="s">
        <v>166</v>
      </c>
      <c r="C12" s="7" t="s">
        <v>111</v>
      </c>
      <c r="D12" s="7" t="s">
        <v>167</v>
      </c>
      <c r="E12" s="7" t="s">
        <v>168</v>
      </c>
      <c r="F12" s="11"/>
    </row>
    <row r="13" customFormat="false" ht="15" hidden="false" customHeight="false" outlineLevel="0" collapsed="false">
      <c r="A13" s="15" t="s">
        <v>159</v>
      </c>
      <c r="B13" s="10" t="s">
        <v>169</v>
      </c>
      <c r="C13" s="7" t="s">
        <v>75</v>
      </c>
      <c r="D13" s="7" t="s">
        <v>170</v>
      </c>
      <c r="E13" s="10" t="s">
        <v>171</v>
      </c>
      <c r="F13" s="11"/>
    </row>
    <row r="14" customFormat="false" ht="15" hidden="false" customHeight="false" outlineLevel="0" collapsed="false">
      <c r="A14" s="15" t="s">
        <v>172</v>
      </c>
      <c r="B14" s="10" t="s">
        <v>169</v>
      </c>
      <c r="C14" s="7" t="s">
        <v>75</v>
      </c>
      <c r="D14" s="7" t="s">
        <v>173</v>
      </c>
      <c r="E14" s="10" t="s">
        <v>171</v>
      </c>
      <c r="F14" s="11"/>
    </row>
    <row r="15" customFormat="false" ht="15" hidden="false" customHeight="false" outlineLevel="0" collapsed="false">
      <c r="A15" s="8" t="s">
        <v>174</v>
      </c>
      <c r="B15" s="7" t="s">
        <v>175</v>
      </c>
      <c r="C15" s="7" t="s">
        <v>87</v>
      </c>
      <c r="D15" s="7" t="s">
        <v>176</v>
      </c>
      <c r="E15" s="7" t="s">
        <v>177</v>
      </c>
      <c r="F15" s="11"/>
    </row>
    <row r="16" customFormat="false" ht="23.85" hidden="false" customHeight="false" outlineLevel="0" collapsed="false">
      <c r="A16" s="15" t="s">
        <v>178</v>
      </c>
      <c r="B16" s="10" t="s">
        <v>169</v>
      </c>
      <c r="C16" s="7" t="s">
        <v>75</v>
      </c>
      <c r="D16" s="7" t="s">
        <v>179</v>
      </c>
      <c r="E16" s="10" t="s">
        <v>171</v>
      </c>
      <c r="F16" s="11"/>
    </row>
    <row r="17" customFormat="false" ht="15" hidden="false" customHeight="false" outlineLevel="0" collapsed="false">
      <c r="A17" s="8" t="s">
        <v>180</v>
      </c>
      <c r="B17" s="7" t="s">
        <v>181</v>
      </c>
      <c r="C17" s="7" t="s">
        <v>87</v>
      </c>
      <c r="D17" s="7" t="s">
        <v>182</v>
      </c>
      <c r="E17" s="7" t="s">
        <v>183</v>
      </c>
      <c r="F17" s="11"/>
    </row>
    <row r="18" customFormat="false" ht="15" hidden="false" customHeight="false" outlineLevel="0" collapsed="false">
      <c r="A18" s="8" t="s">
        <v>184</v>
      </c>
      <c r="B18" s="7" t="s">
        <v>181</v>
      </c>
      <c r="C18" s="7" t="s">
        <v>87</v>
      </c>
      <c r="D18" s="7" t="s">
        <v>185</v>
      </c>
      <c r="E18" s="7" t="s">
        <v>183</v>
      </c>
      <c r="F18" s="11"/>
    </row>
    <row r="19" customFormat="false" ht="15" hidden="false" customHeight="false" outlineLevel="0" collapsed="false">
      <c r="A19" s="8" t="s">
        <v>186</v>
      </c>
      <c r="B19" s="7" t="s">
        <v>150</v>
      </c>
      <c r="C19" s="7" t="s">
        <v>93</v>
      </c>
      <c r="D19" s="7" t="s">
        <v>187</v>
      </c>
      <c r="E19" s="7" t="s">
        <v>188</v>
      </c>
      <c r="F19" s="11"/>
    </row>
    <row r="20" customFormat="false" ht="15" hidden="false" customHeight="false" outlineLevel="0" collapsed="false">
      <c r="A20" s="8" t="s">
        <v>189</v>
      </c>
      <c r="B20" s="7" t="s">
        <v>153</v>
      </c>
      <c r="C20" s="7" t="s">
        <v>129</v>
      </c>
      <c r="D20" s="7" t="s">
        <v>190</v>
      </c>
      <c r="E20" s="7" t="s">
        <v>191</v>
      </c>
      <c r="F20" s="11"/>
    </row>
    <row r="21" customFormat="false" ht="23.85" hidden="false" customHeight="false" outlineLevel="0" collapsed="false">
      <c r="A21" s="8" t="s">
        <v>192</v>
      </c>
      <c r="B21" s="7" t="s">
        <v>193</v>
      </c>
      <c r="C21" s="7" t="s">
        <v>75</v>
      </c>
      <c r="D21" s="7" t="s">
        <v>194</v>
      </c>
      <c r="E21" s="7" t="s">
        <v>195</v>
      </c>
      <c r="F21" s="11"/>
    </row>
    <row r="22" customFormat="false" ht="15" hidden="false" customHeight="false" outlineLevel="0" collapsed="false">
      <c r="A22" s="15" t="s">
        <v>196</v>
      </c>
      <c r="B22" s="10" t="s">
        <v>197</v>
      </c>
      <c r="C22" s="7" t="s">
        <v>105</v>
      </c>
      <c r="D22" s="7" t="s">
        <v>198</v>
      </c>
      <c r="E22" s="10" t="s">
        <v>199</v>
      </c>
      <c r="F22" s="11"/>
    </row>
    <row r="23" customFormat="false" ht="15" hidden="false" customHeight="false" outlineLevel="0" collapsed="false">
      <c r="A23" s="8" t="s">
        <v>200</v>
      </c>
      <c r="B23" s="7" t="s">
        <v>201</v>
      </c>
      <c r="C23" s="7" t="s">
        <v>129</v>
      </c>
      <c r="D23" s="7" t="s">
        <v>202</v>
      </c>
      <c r="E23" s="7" t="s">
        <v>203</v>
      </c>
      <c r="F23" s="11"/>
    </row>
    <row r="24" customFormat="false" ht="15" hidden="false" customHeight="false" outlineLevel="0" collapsed="false">
      <c r="A24" s="8" t="s">
        <v>204</v>
      </c>
      <c r="B24" s="7" t="s">
        <v>205</v>
      </c>
      <c r="C24" s="7" t="s">
        <v>51</v>
      </c>
      <c r="D24" s="7" t="s">
        <v>206</v>
      </c>
      <c r="E24" s="7" t="s">
        <v>191</v>
      </c>
      <c r="F24" s="11"/>
    </row>
    <row r="25" customFormat="false" ht="15" hidden="false" customHeight="false" outlineLevel="0" collapsed="false">
      <c r="A25" s="8" t="s">
        <v>207</v>
      </c>
      <c r="B25" s="7" t="s">
        <v>205</v>
      </c>
      <c r="C25" s="7" t="s">
        <v>51</v>
      </c>
      <c r="D25" s="7" t="s">
        <v>208</v>
      </c>
      <c r="E25" s="7" t="s">
        <v>191</v>
      </c>
      <c r="F25" s="11"/>
    </row>
    <row r="26" customFormat="false" ht="15" hidden="false" customHeight="false" outlineLevel="0" collapsed="false">
      <c r="A26" s="8" t="s">
        <v>209</v>
      </c>
      <c r="B26" s="7" t="s">
        <v>210</v>
      </c>
      <c r="C26" s="7" t="s">
        <v>51</v>
      </c>
      <c r="D26" s="7" t="s">
        <v>211</v>
      </c>
      <c r="E26" s="7" t="s">
        <v>212</v>
      </c>
      <c r="F26" s="11"/>
    </row>
    <row r="27" customFormat="false" ht="23.85" hidden="false" customHeight="false" outlineLevel="0" collapsed="false">
      <c r="A27" s="8" t="s">
        <v>213</v>
      </c>
      <c r="B27" s="7" t="s">
        <v>214</v>
      </c>
      <c r="C27" s="7" t="s">
        <v>99</v>
      </c>
      <c r="D27" s="7" t="s">
        <v>215</v>
      </c>
      <c r="E27" s="7" t="s">
        <v>216</v>
      </c>
      <c r="F27" s="11"/>
    </row>
    <row r="28" customFormat="false" ht="15" hidden="false" customHeight="false" outlineLevel="0" collapsed="false">
      <c r="A28" s="8" t="s">
        <v>217</v>
      </c>
      <c r="B28" s="7" t="s">
        <v>118</v>
      </c>
      <c r="C28" s="7" t="s">
        <v>117</v>
      </c>
      <c r="D28" s="7" t="s">
        <v>218</v>
      </c>
      <c r="E28" s="7" t="s">
        <v>219</v>
      </c>
      <c r="F28" s="11"/>
    </row>
    <row r="29" customFormat="false" ht="23.85" hidden="false" customHeight="false" outlineLevel="0" collapsed="false">
      <c r="A29" s="8" t="s">
        <v>220</v>
      </c>
      <c r="B29" s="7" t="s">
        <v>221</v>
      </c>
      <c r="C29" s="7" t="s">
        <v>57</v>
      </c>
      <c r="D29" s="7" t="s">
        <v>222</v>
      </c>
      <c r="E29" s="7" t="s">
        <v>223</v>
      </c>
      <c r="F29" s="11"/>
    </row>
    <row r="30" customFormat="false" ht="15" hidden="false" customHeight="false" outlineLevel="0" collapsed="false">
      <c r="A30" s="8" t="s">
        <v>71</v>
      </c>
      <c r="B30" s="7" t="s">
        <v>70</v>
      </c>
      <c r="C30" s="7" t="s">
        <v>69</v>
      </c>
      <c r="D30" s="7" t="s">
        <v>224</v>
      </c>
      <c r="E30" s="7" t="s">
        <v>225</v>
      </c>
      <c r="F30" s="11"/>
    </row>
    <row r="31" customFormat="false" ht="15" hidden="false" customHeight="false" outlineLevel="0" collapsed="false">
      <c r="A31" s="15" t="s">
        <v>71</v>
      </c>
      <c r="B31" s="10" t="s">
        <v>226</v>
      </c>
      <c r="C31" s="7" t="s">
        <v>93</v>
      </c>
      <c r="D31" s="7" t="s">
        <v>227</v>
      </c>
      <c r="E31" s="10" t="s">
        <v>228</v>
      </c>
      <c r="F31" s="11"/>
    </row>
    <row r="32" customFormat="false" ht="23.85" hidden="false" customHeight="false" outlineLevel="0" collapsed="false">
      <c r="A32" s="8" t="s">
        <v>229</v>
      </c>
      <c r="B32" s="7" t="s">
        <v>64</v>
      </c>
      <c r="C32" s="7" t="s">
        <v>63</v>
      </c>
      <c r="D32" s="7" t="s">
        <v>230</v>
      </c>
      <c r="E32" s="7" t="s">
        <v>231</v>
      </c>
      <c r="F32" s="11"/>
    </row>
    <row r="33" customFormat="false" ht="15" hidden="false" customHeight="false" outlineLevel="0" collapsed="false">
      <c r="A33" s="15" t="s">
        <v>229</v>
      </c>
      <c r="B33" s="10" t="s">
        <v>232</v>
      </c>
      <c r="C33" s="7" t="s">
        <v>93</v>
      </c>
      <c r="D33" s="7" t="s">
        <v>233</v>
      </c>
      <c r="E33" s="10" t="s">
        <v>234</v>
      </c>
      <c r="F33" s="11"/>
    </row>
    <row r="34" customFormat="false" ht="15" hidden="false" customHeight="false" outlineLevel="0" collapsed="false">
      <c r="A34" s="15" t="s">
        <v>235</v>
      </c>
      <c r="B34" s="10" t="s">
        <v>236</v>
      </c>
      <c r="C34" s="7" t="s">
        <v>57</v>
      </c>
      <c r="D34" s="7" t="s">
        <v>237</v>
      </c>
      <c r="E34" s="10" t="s">
        <v>238</v>
      </c>
      <c r="F34" s="11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46</v>
      </c>
    </row>
    <row r="2" customFormat="false" ht="15" hidden="false" customHeight="false" outlineLevel="0" collapsed="false">
      <c r="A2" s="16" t="s">
        <v>239</v>
      </c>
    </row>
    <row r="3" customFormat="false" ht="30" hidden="false" customHeight="true" outlineLevel="0" collapsed="false">
      <c r="A3" s="17" t="s">
        <v>48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256</v>
      </c>
      <c r="B7" s="7" t="s">
        <v>257</v>
      </c>
      <c r="C7" s="7" t="s">
        <v>258</v>
      </c>
      <c r="D7" s="7" t="s">
        <v>259</v>
      </c>
      <c r="E7" s="7" t="s">
        <v>260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261</v>
      </c>
      <c r="B8" s="7" t="s">
        <v>262</v>
      </c>
      <c r="C8" s="7" t="s">
        <v>263</v>
      </c>
      <c r="D8" s="7" t="s">
        <v>264</v>
      </c>
      <c r="E8" s="7" t="s">
        <v>260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57.75" hidden="false" customHeight="true" outlineLevel="0" collapsed="false">
      <c r="A9" s="7" t="s">
        <v>265</v>
      </c>
      <c r="B9" s="7" t="s">
        <v>266</v>
      </c>
      <c r="C9" s="7" t="s">
        <v>267</v>
      </c>
      <c r="D9" s="7" t="s">
        <v>268</v>
      </c>
      <c r="E9" s="7" t="s">
        <v>260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57.75" hidden="false" customHeight="true" outlineLevel="0" collapsed="false">
      <c r="A10" s="7" t="s">
        <v>269</v>
      </c>
      <c r="B10" s="7" t="s">
        <v>270</v>
      </c>
      <c r="C10" s="7" t="s">
        <v>271</v>
      </c>
      <c r="D10" s="7" t="s">
        <v>272</v>
      </c>
      <c r="E10" s="7" t="s">
        <v>260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2" customFormat="false" ht="15" hidden="false" customHeight="false" outlineLevel="0" collapsed="false">
      <c r="A12" s="18" t="s">
        <v>273</v>
      </c>
      <c r="B12" s="19"/>
      <c r="C12" s="19"/>
      <c r="D12" s="19"/>
      <c r="E12" s="19"/>
      <c r="F12" s="19"/>
      <c r="G12" s="19"/>
      <c r="H12" s="19"/>
    </row>
    <row r="13" customFormat="false" ht="30" hidden="false" customHeight="true" outlineLevel="0" collapsed="false">
      <c r="A13" s="6" t="s">
        <v>274</v>
      </c>
      <c r="B13" s="6" t="s">
        <v>275</v>
      </c>
      <c r="C13" s="6" t="s">
        <v>276</v>
      </c>
      <c r="D13" s="6" t="s">
        <v>246</v>
      </c>
      <c r="E13" s="6" t="s">
        <v>247</v>
      </c>
      <c r="F13" s="6" t="s">
        <v>277</v>
      </c>
      <c r="G13" s="6" t="s">
        <v>278</v>
      </c>
      <c r="H13" s="6" t="s">
        <v>279</v>
      </c>
      <c r="I13" s="6" t="s">
        <v>253</v>
      </c>
    </row>
    <row r="14" customFormat="false" ht="35.05" hidden="false" customHeight="false" outlineLevel="0" collapsed="false">
      <c r="A14" s="7" t="n">
        <v>1</v>
      </c>
      <c r="B14" s="7" t="s">
        <v>280</v>
      </c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2</v>
      </c>
      <c r="B15" s="7" t="s">
        <v>281</v>
      </c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7" t="n">
        <v>3</v>
      </c>
      <c r="B16" s="7" t="s">
        <v>282</v>
      </c>
      <c r="C16" s="11"/>
      <c r="D16" s="11"/>
      <c r="E16" s="11"/>
      <c r="F16" s="11"/>
      <c r="G16" s="11"/>
      <c r="H16" s="11"/>
      <c r="I16" s="11"/>
    </row>
    <row r="17" customFormat="false" ht="23.85" hidden="false" customHeight="false" outlineLevel="0" collapsed="false">
      <c r="A17" s="7" t="n">
        <v>4</v>
      </c>
      <c r="B17" s="7" t="s">
        <v>283</v>
      </c>
      <c r="C17" s="11"/>
      <c r="D17" s="11"/>
      <c r="E17" s="11"/>
      <c r="F17" s="11"/>
      <c r="G17" s="11"/>
      <c r="H17" s="11"/>
      <c r="I17" s="11"/>
    </row>
    <row r="19" customFormat="false" ht="45.75" hidden="false" customHeight="true" outlineLevel="0" collapsed="false">
      <c r="A19" s="20" t="s">
        <v>284</v>
      </c>
      <c r="B19" s="21" t="s">
        <v>285</v>
      </c>
      <c r="C19" s="21"/>
      <c r="D19" s="21"/>
      <c r="E19" s="21"/>
      <c r="F19" s="21"/>
    </row>
    <row r="20" customFormat="false" ht="45.75" hidden="false" customHeight="true" outlineLevel="0" collapsed="false">
      <c r="A20" s="20" t="s">
        <v>286</v>
      </c>
      <c r="B20" s="21" t="s">
        <v>49</v>
      </c>
      <c r="C20" s="21"/>
      <c r="D20" s="21"/>
      <c r="E20" s="21"/>
      <c r="F20" s="21"/>
    </row>
    <row r="21" customFormat="false" ht="45.75" hidden="false" customHeight="true" outlineLevel="0" collapsed="false">
      <c r="A21" s="20" t="s">
        <v>287</v>
      </c>
      <c r="B21" s="22" t="s">
        <v>50</v>
      </c>
      <c r="C21" s="22"/>
      <c r="D21" s="22"/>
      <c r="E21" s="22"/>
      <c r="F21" s="22"/>
    </row>
    <row r="22" customFormat="false" ht="45.75" hidden="false" customHeight="true" outlineLevel="0" collapsed="false">
      <c r="A22" s="20" t="s">
        <v>288</v>
      </c>
      <c r="B22" s="21" t="s">
        <v>289</v>
      </c>
      <c r="C22" s="21"/>
      <c r="D22" s="21"/>
      <c r="E22" s="21"/>
      <c r="F22" s="21"/>
    </row>
    <row r="24" customFormat="false" ht="15" hidden="false" customHeight="false" outlineLevel="0" collapsed="false">
      <c r="A24" s="23" t="s">
        <v>290</v>
      </c>
      <c r="B24" s="24"/>
      <c r="C24" s="24"/>
      <c r="D24" s="24"/>
      <c r="E24" s="24"/>
      <c r="F24" s="24"/>
    </row>
    <row r="25" customFormat="false" ht="15" hidden="false" customHeight="false" outlineLevel="0" collapsed="false">
      <c r="B25" s="24"/>
      <c r="C25" s="24"/>
      <c r="D25" s="24"/>
      <c r="E25" s="24"/>
      <c r="F25" s="24"/>
    </row>
    <row r="26" customFormat="false" ht="15" hidden="false" customHeight="false" outlineLevel="0" collapsed="false">
      <c r="B26" s="24"/>
      <c r="C26" s="24"/>
      <c r="D26" s="24"/>
      <c r="E26" s="24"/>
      <c r="F26" s="24"/>
    </row>
    <row r="27" customFormat="false" ht="15" hidden="false" customHeight="false" outlineLevel="0" collapsed="false">
      <c r="B27" s="24"/>
      <c r="C27" s="24"/>
      <c r="D27" s="24"/>
      <c r="E27" s="24"/>
      <c r="F27" s="24"/>
    </row>
  </sheetData>
  <mergeCells count="5">
    <mergeCell ref="A3:E3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52</v>
      </c>
    </row>
    <row r="2" customFormat="false" ht="15" hidden="false" customHeight="false" outlineLevel="0" collapsed="false">
      <c r="A2" s="16" t="s">
        <v>291</v>
      </c>
    </row>
    <row r="3" customFormat="false" ht="30" hidden="false" customHeight="true" outlineLevel="0" collapsed="false">
      <c r="A3" s="17" t="s">
        <v>54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256</v>
      </c>
      <c r="B7" s="7" t="s">
        <v>292</v>
      </c>
      <c r="C7" s="7" t="s">
        <v>293</v>
      </c>
      <c r="D7" s="7" t="s">
        <v>294</v>
      </c>
      <c r="E7" s="7" t="s">
        <v>295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261</v>
      </c>
      <c r="B8" s="7" t="s">
        <v>296</v>
      </c>
      <c r="C8" s="7" t="s">
        <v>297</v>
      </c>
      <c r="D8" s="7" t="s">
        <v>298</v>
      </c>
      <c r="E8" s="7" t="s">
        <v>299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customFormat="false" ht="15" hidden="false" customHeight="false" outlineLevel="0" collapsed="false">
      <c r="A10" s="18" t="s">
        <v>273</v>
      </c>
      <c r="B10" s="19"/>
      <c r="C10" s="19"/>
      <c r="D10" s="19"/>
      <c r="E10" s="19"/>
      <c r="F10" s="19"/>
      <c r="G10" s="19"/>
      <c r="H10" s="19"/>
    </row>
    <row r="11" customFormat="false" ht="30" hidden="false" customHeight="true" outlineLevel="0" collapsed="false">
      <c r="A11" s="6" t="s">
        <v>274</v>
      </c>
      <c r="B11" s="6" t="s">
        <v>275</v>
      </c>
      <c r="C11" s="6" t="s">
        <v>276</v>
      </c>
      <c r="D11" s="6" t="s">
        <v>246</v>
      </c>
      <c r="E11" s="6" t="s">
        <v>247</v>
      </c>
      <c r="F11" s="6" t="s">
        <v>277</v>
      </c>
      <c r="G11" s="6" t="s">
        <v>278</v>
      </c>
      <c r="H11" s="6" t="s">
        <v>279</v>
      </c>
      <c r="I11" s="6" t="s">
        <v>253</v>
      </c>
    </row>
    <row r="12" customFormat="false" ht="23.85" hidden="false" customHeight="false" outlineLevel="0" collapsed="false">
      <c r="A12" s="7" t="n">
        <v>1</v>
      </c>
      <c r="B12" s="7" t="s">
        <v>300</v>
      </c>
      <c r="C12" s="11"/>
      <c r="D12" s="11"/>
      <c r="E12" s="11"/>
      <c r="F12" s="11"/>
      <c r="G12" s="11"/>
      <c r="H12" s="11"/>
      <c r="I12" s="11"/>
    </row>
    <row r="14" customFormat="false" ht="45.75" hidden="false" customHeight="true" outlineLevel="0" collapsed="false">
      <c r="A14" s="20" t="s">
        <v>284</v>
      </c>
      <c r="B14" s="21" t="s">
        <v>301</v>
      </c>
      <c r="C14" s="21"/>
      <c r="D14" s="21"/>
      <c r="E14" s="21"/>
      <c r="F14" s="21"/>
    </row>
    <row r="15" customFormat="false" ht="45.75" hidden="false" customHeight="true" outlineLevel="0" collapsed="false">
      <c r="A15" s="20" t="s">
        <v>286</v>
      </c>
      <c r="B15" s="21" t="s">
        <v>55</v>
      </c>
      <c r="C15" s="21"/>
      <c r="D15" s="21"/>
      <c r="E15" s="21"/>
      <c r="F15" s="21"/>
    </row>
    <row r="16" customFormat="false" ht="45.75" hidden="false" customHeight="true" outlineLevel="0" collapsed="false">
      <c r="A16" s="20" t="s">
        <v>287</v>
      </c>
      <c r="B16" s="22" t="s">
        <v>56</v>
      </c>
      <c r="C16" s="22"/>
      <c r="D16" s="22"/>
      <c r="E16" s="22"/>
      <c r="F16" s="22"/>
    </row>
    <row r="17" customFormat="false" ht="45.75" hidden="false" customHeight="true" outlineLevel="0" collapsed="false">
      <c r="A17" s="20" t="s">
        <v>288</v>
      </c>
      <c r="B17" s="21" t="s">
        <v>302</v>
      </c>
      <c r="C17" s="21"/>
      <c r="D17" s="21"/>
      <c r="E17" s="21"/>
      <c r="F17" s="21"/>
    </row>
    <row r="19" customFormat="false" ht="15" hidden="false" customHeight="false" outlineLevel="0" collapsed="false">
      <c r="A19" s="23" t="s">
        <v>290</v>
      </c>
      <c r="B19" s="24"/>
      <c r="C19" s="24"/>
      <c r="D19" s="24"/>
      <c r="E19" s="24"/>
      <c r="F19" s="24"/>
    </row>
    <row r="20" customFormat="false" ht="15" hidden="false" customHeight="false" outlineLevel="0" collapsed="false">
      <c r="B20" s="24"/>
      <c r="C20" s="24"/>
      <c r="D20" s="24"/>
      <c r="E20" s="24"/>
      <c r="F20" s="24"/>
    </row>
    <row r="21" customFormat="false" ht="15" hidden="false" customHeight="false" outlineLevel="0" collapsed="false">
      <c r="B21" s="24"/>
      <c r="C21" s="24"/>
      <c r="D21" s="24"/>
      <c r="E21" s="24"/>
      <c r="F21" s="24"/>
    </row>
    <row r="22" customFormat="false" ht="15" hidden="false" customHeight="false" outlineLevel="0" collapsed="false">
      <c r="B22" s="24"/>
      <c r="C22" s="24"/>
      <c r="D22" s="24"/>
      <c r="E22" s="24"/>
      <c r="F22" s="24"/>
    </row>
  </sheetData>
  <mergeCells count="5">
    <mergeCell ref="A3:E3"/>
    <mergeCell ref="B14:F14"/>
    <mergeCell ref="B15:F15"/>
    <mergeCell ref="B16:F16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58</v>
      </c>
    </row>
    <row r="2" customFormat="false" ht="15" hidden="false" customHeight="false" outlineLevel="0" collapsed="false">
      <c r="A2" s="16" t="s">
        <v>303</v>
      </c>
    </row>
    <row r="3" customFormat="false" ht="30" hidden="false" customHeight="true" outlineLevel="0" collapsed="false">
      <c r="A3" s="17" t="s">
        <v>60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304</v>
      </c>
      <c r="B7" s="7" t="s">
        <v>305</v>
      </c>
      <c r="C7" s="7" t="s">
        <v>306</v>
      </c>
      <c r="D7" s="7" t="s">
        <v>307</v>
      </c>
      <c r="E7" s="7" t="s">
        <v>308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309</v>
      </c>
      <c r="B8" s="7" t="s">
        <v>310</v>
      </c>
      <c r="C8" s="7" t="s">
        <v>311</v>
      </c>
      <c r="D8" s="7" t="s">
        <v>312</v>
      </c>
      <c r="E8" s="7" t="s">
        <v>313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57.75" hidden="false" customHeight="true" outlineLevel="0" collapsed="false">
      <c r="A9" s="7" t="s">
        <v>314</v>
      </c>
      <c r="B9" s="7" t="s">
        <v>315</v>
      </c>
      <c r="C9" s="7" t="s">
        <v>316</v>
      </c>
      <c r="D9" s="7" t="s">
        <v>312</v>
      </c>
      <c r="E9" s="7" t="s">
        <v>317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57.75" hidden="false" customHeight="true" outlineLevel="0" collapsed="false">
      <c r="A10" s="7" t="s">
        <v>318</v>
      </c>
      <c r="B10" s="7" t="s">
        <v>319</v>
      </c>
      <c r="C10" s="7" t="s">
        <v>320</v>
      </c>
      <c r="D10" s="7" t="s">
        <v>312</v>
      </c>
      <c r="E10" s="7" t="s">
        <v>317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2" customFormat="false" ht="15" hidden="false" customHeight="false" outlineLevel="0" collapsed="false">
      <c r="A12" s="18" t="s">
        <v>273</v>
      </c>
      <c r="B12" s="19"/>
      <c r="C12" s="19"/>
      <c r="D12" s="19"/>
      <c r="E12" s="19"/>
      <c r="F12" s="19"/>
      <c r="G12" s="19"/>
      <c r="H12" s="19"/>
    </row>
    <row r="13" customFormat="false" ht="30" hidden="false" customHeight="true" outlineLevel="0" collapsed="false">
      <c r="A13" s="6" t="s">
        <v>274</v>
      </c>
      <c r="B13" s="6" t="s">
        <v>275</v>
      </c>
      <c r="C13" s="6" t="s">
        <v>276</v>
      </c>
      <c r="D13" s="6" t="s">
        <v>246</v>
      </c>
      <c r="E13" s="6" t="s">
        <v>247</v>
      </c>
      <c r="F13" s="6" t="s">
        <v>277</v>
      </c>
      <c r="G13" s="6" t="s">
        <v>278</v>
      </c>
      <c r="H13" s="6" t="s">
        <v>279</v>
      </c>
      <c r="I13" s="6" t="s">
        <v>253</v>
      </c>
    </row>
    <row r="14" customFormat="false" ht="15" hidden="false" customHeight="false" outlineLevel="0" collapsed="false">
      <c r="A14" s="7" t="n">
        <v>1</v>
      </c>
      <c r="B14" s="7" t="s">
        <v>321</v>
      </c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7" t="n">
        <v>2</v>
      </c>
      <c r="B15" s="7" t="s">
        <v>322</v>
      </c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7" t="n">
        <v>3</v>
      </c>
      <c r="B16" s="7" t="s">
        <v>323</v>
      </c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7" t="n">
        <v>4</v>
      </c>
      <c r="B17" s="7" t="s">
        <v>324</v>
      </c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7" t="n">
        <v>5</v>
      </c>
      <c r="B18" s="7" t="s">
        <v>325</v>
      </c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6</v>
      </c>
      <c r="B19" s="7" t="s">
        <v>326</v>
      </c>
      <c r="C19" s="11"/>
      <c r="D19" s="11"/>
      <c r="E19" s="11"/>
      <c r="F19" s="11"/>
      <c r="G19" s="11"/>
      <c r="H19" s="11"/>
      <c r="I19" s="11"/>
    </row>
    <row r="21" customFormat="false" ht="45.75" hidden="false" customHeight="true" outlineLevel="0" collapsed="false">
      <c r="A21" s="20" t="s">
        <v>284</v>
      </c>
      <c r="B21" s="21" t="s">
        <v>327</v>
      </c>
      <c r="C21" s="21"/>
      <c r="D21" s="21"/>
      <c r="E21" s="21"/>
      <c r="F21" s="21"/>
    </row>
    <row r="22" customFormat="false" ht="45.75" hidden="false" customHeight="true" outlineLevel="0" collapsed="false">
      <c r="A22" s="20" t="s">
        <v>286</v>
      </c>
      <c r="B22" s="21" t="s">
        <v>61</v>
      </c>
      <c r="C22" s="21"/>
      <c r="D22" s="21"/>
      <c r="E22" s="21"/>
      <c r="F22" s="21"/>
    </row>
    <row r="23" customFormat="false" ht="45.75" hidden="false" customHeight="true" outlineLevel="0" collapsed="false">
      <c r="A23" s="20" t="s">
        <v>287</v>
      </c>
      <c r="B23" s="22" t="s">
        <v>62</v>
      </c>
      <c r="C23" s="22"/>
      <c r="D23" s="22"/>
      <c r="E23" s="22"/>
      <c r="F23" s="22"/>
    </row>
    <row r="24" customFormat="false" ht="45.75" hidden="false" customHeight="true" outlineLevel="0" collapsed="false">
      <c r="A24" s="20" t="s">
        <v>288</v>
      </c>
      <c r="B24" s="21" t="s">
        <v>328</v>
      </c>
      <c r="C24" s="21"/>
      <c r="D24" s="21"/>
      <c r="E24" s="21"/>
      <c r="F24" s="21"/>
    </row>
    <row r="26" customFormat="false" ht="15" hidden="false" customHeight="false" outlineLevel="0" collapsed="false">
      <c r="A26" s="23" t="s">
        <v>290</v>
      </c>
      <c r="B26" s="24"/>
      <c r="C26" s="24"/>
      <c r="D26" s="24"/>
      <c r="E26" s="24"/>
      <c r="F26" s="24"/>
    </row>
    <row r="27" customFormat="false" ht="15" hidden="false" customHeight="false" outlineLevel="0" collapsed="false">
      <c r="B27" s="24"/>
      <c r="C27" s="24"/>
      <c r="D27" s="24"/>
      <c r="E27" s="24"/>
      <c r="F27" s="24"/>
    </row>
    <row r="28" customFormat="false" ht="15" hidden="false" customHeight="false" outlineLevel="0" collapsed="false">
      <c r="B28" s="24"/>
      <c r="C28" s="24"/>
      <c r="D28" s="24"/>
      <c r="E28" s="24"/>
      <c r="F28" s="24"/>
    </row>
    <row r="29" customFormat="false" ht="15" hidden="false" customHeight="false" outlineLevel="0" collapsed="false">
      <c r="B29" s="24"/>
      <c r="C29" s="24"/>
      <c r="D29" s="24"/>
      <c r="E29" s="24"/>
      <c r="F29" s="24"/>
    </row>
  </sheetData>
  <mergeCells count="5">
    <mergeCell ref="A3:E3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64</v>
      </c>
    </row>
    <row r="2" customFormat="false" ht="15" hidden="false" customHeight="false" outlineLevel="0" collapsed="false">
      <c r="A2" s="16" t="s">
        <v>329</v>
      </c>
    </row>
    <row r="3" customFormat="false" ht="30" hidden="false" customHeight="true" outlineLevel="0" collapsed="false">
      <c r="A3" s="17" t="s">
        <v>66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256</v>
      </c>
      <c r="B7" s="7" t="s">
        <v>330</v>
      </c>
      <c r="C7" s="7" t="s">
        <v>331</v>
      </c>
      <c r="D7" s="7" t="s">
        <v>332</v>
      </c>
      <c r="E7" s="7" t="s">
        <v>67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261</v>
      </c>
      <c r="B8" s="7" t="s">
        <v>333</v>
      </c>
      <c r="C8" s="7" t="s">
        <v>334</v>
      </c>
      <c r="D8" s="7" t="s">
        <v>335</v>
      </c>
      <c r="E8" s="7" t="s">
        <v>336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customFormat="false" ht="15" hidden="false" customHeight="false" outlineLevel="0" collapsed="false">
      <c r="A10" s="18" t="s">
        <v>273</v>
      </c>
      <c r="B10" s="19"/>
      <c r="C10" s="19"/>
      <c r="D10" s="19"/>
      <c r="E10" s="19"/>
      <c r="F10" s="19"/>
      <c r="G10" s="19"/>
      <c r="H10" s="19"/>
    </row>
    <row r="11" customFormat="false" ht="30" hidden="false" customHeight="true" outlineLevel="0" collapsed="false">
      <c r="A11" s="6" t="s">
        <v>274</v>
      </c>
      <c r="B11" s="6" t="s">
        <v>275</v>
      </c>
      <c r="C11" s="6" t="s">
        <v>276</v>
      </c>
      <c r="D11" s="6" t="s">
        <v>246</v>
      </c>
      <c r="E11" s="6" t="s">
        <v>247</v>
      </c>
      <c r="F11" s="6" t="s">
        <v>277</v>
      </c>
      <c r="G11" s="6" t="s">
        <v>278</v>
      </c>
      <c r="H11" s="6" t="s">
        <v>279</v>
      </c>
      <c r="I11" s="6" t="s">
        <v>253</v>
      </c>
    </row>
    <row r="12" customFormat="false" ht="15" hidden="false" customHeight="false" outlineLevel="0" collapsed="false">
      <c r="A12" s="7" t="n">
        <v>1</v>
      </c>
      <c r="B12" s="7" t="s">
        <v>331</v>
      </c>
      <c r="C12" s="11"/>
      <c r="D12" s="11"/>
      <c r="E12" s="11"/>
      <c r="F12" s="11"/>
      <c r="G12" s="11"/>
      <c r="H12" s="11"/>
      <c r="I12" s="11"/>
    </row>
    <row r="14" customFormat="false" ht="45.75" hidden="false" customHeight="true" outlineLevel="0" collapsed="false">
      <c r="A14" s="20" t="s">
        <v>284</v>
      </c>
      <c r="B14" s="21" t="s">
        <v>337</v>
      </c>
      <c r="C14" s="21"/>
      <c r="D14" s="21"/>
      <c r="E14" s="21"/>
      <c r="F14" s="21"/>
    </row>
    <row r="15" customFormat="false" ht="45.75" hidden="false" customHeight="true" outlineLevel="0" collapsed="false">
      <c r="A15" s="20" t="s">
        <v>286</v>
      </c>
      <c r="B15" s="21" t="s">
        <v>67</v>
      </c>
      <c r="C15" s="21"/>
      <c r="D15" s="21"/>
      <c r="E15" s="21"/>
      <c r="F15" s="21"/>
    </row>
    <row r="16" customFormat="false" ht="45.75" hidden="false" customHeight="true" outlineLevel="0" collapsed="false">
      <c r="A16" s="20" t="s">
        <v>287</v>
      </c>
      <c r="B16" s="22" t="s">
        <v>68</v>
      </c>
      <c r="C16" s="22"/>
      <c r="D16" s="22"/>
      <c r="E16" s="22"/>
      <c r="F16" s="22"/>
    </row>
    <row r="17" customFormat="false" ht="45.75" hidden="false" customHeight="true" outlineLevel="0" collapsed="false">
      <c r="A17" s="20" t="s">
        <v>288</v>
      </c>
      <c r="B17" s="21" t="s">
        <v>338</v>
      </c>
      <c r="C17" s="21"/>
      <c r="D17" s="21"/>
      <c r="E17" s="21"/>
      <c r="F17" s="21"/>
    </row>
    <row r="19" customFormat="false" ht="15" hidden="false" customHeight="false" outlineLevel="0" collapsed="false">
      <c r="A19" s="23" t="s">
        <v>290</v>
      </c>
      <c r="B19" s="24"/>
      <c r="C19" s="24"/>
      <c r="D19" s="24"/>
      <c r="E19" s="24"/>
      <c r="F19" s="24"/>
    </row>
    <row r="20" customFormat="false" ht="15" hidden="false" customHeight="false" outlineLevel="0" collapsed="false">
      <c r="B20" s="24"/>
      <c r="C20" s="24"/>
      <c r="D20" s="24"/>
      <c r="E20" s="24"/>
      <c r="F20" s="24"/>
    </row>
    <row r="21" customFormat="false" ht="15" hidden="false" customHeight="false" outlineLevel="0" collapsed="false">
      <c r="B21" s="24"/>
      <c r="C21" s="24"/>
      <c r="D21" s="24"/>
      <c r="E21" s="24"/>
      <c r="F21" s="24"/>
    </row>
    <row r="22" customFormat="false" ht="15" hidden="false" customHeight="false" outlineLevel="0" collapsed="false">
      <c r="B22" s="24"/>
      <c r="C22" s="24"/>
      <c r="D22" s="24"/>
      <c r="E22" s="24"/>
      <c r="F22" s="24"/>
    </row>
  </sheetData>
  <mergeCells count="5">
    <mergeCell ref="A3:E3"/>
    <mergeCell ref="B14:F14"/>
    <mergeCell ref="B15:F15"/>
    <mergeCell ref="B16:F16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70</v>
      </c>
    </row>
    <row r="2" customFormat="false" ht="15" hidden="false" customHeight="false" outlineLevel="0" collapsed="false">
      <c r="A2" s="16" t="s">
        <v>339</v>
      </c>
    </row>
    <row r="3" customFormat="false" ht="30" hidden="false" customHeight="true" outlineLevel="0" collapsed="false">
      <c r="A3" s="17" t="s">
        <v>72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256</v>
      </c>
      <c r="B7" s="7" t="s">
        <v>340</v>
      </c>
      <c r="C7" s="7" t="s">
        <v>341</v>
      </c>
      <c r="D7" s="7" t="s">
        <v>342</v>
      </c>
      <c r="E7" s="7" t="s">
        <v>343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261</v>
      </c>
      <c r="B8" s="7" t="s">
        <v>344</v>
      </c>
      <c r="C8" s="7" t="s">
        <v>345</v>
      </c>
      <c r="D8" s="7" t="s">
        <v>346</v>
      </c>
      <c r="E8" s="7" t="s">
        <v>308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customFormat="false" ht="15" hidden="false" customHeight="false" outlineLevel="0" collapsed="false">
      <c r="A10" s="18" t="s">
        <v>273</v>
      </c>
      <c r="B10" s="19"/>
      <c r="C10" s="19"/>
      <c r="D10" s="19"/>
      <c r="E10" s="19"/>
      <c r="F10" s="19"/>
      <c r="G10" s="19"/>
      <c r="H10" s="19"/>
    </row>
    <row r="11" customFormat="false" ht="30" hidden="false" customHeight="true" outlineLevel="0" collapsed="false">
      <c r="A11" s="6" t="s">
        <v>274</v>
      </c>
      <c r="B11" s="6" t="s">
        <v>275</v>
      </c>
      <c r="C11" s="6" t="s">
        <v>276</v>
      </c>
      <c r="D11" s="6" t="s">
        <v>246</v>
      </c>
      <c r="E11" s="6" t="s">
        <v>247</v>
      </c>
      <c r="F11" s="6" t="s">
        <v>277</v>
      </c>
      <c r="G11" s="6" t="s">
        <v>278</v>
      </c>
      <c r="H11" s="6" t="s">
        <v>279</v>
      </c>
      <c r="I11" s="6" t="s">
        <v>253</v>
      </c>
    </row>
    <row r="12" customFormat="false" ht="15" hidden="false" customHeight="false" outlineLevel="0" collapsed="false">
      <c r="A12" s="7" t="n">
        <v>1</v>
      </c>
      <c r="B12" s="7" t="s">
        <v>347</v>
      </c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7" t="n">
        <v>2</v>
      </c>
      <c r="B13" s="7" t="s">
        <v>348</v>
      </c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7" t="n">
        <v>3</v>
      </c>
      <c r="B14" s="7" t="s">
        <v>349</v>
      </c>
      <c r="C14" s="11"/>
      <c r="D14" s="11"/>
      <c r="E14" s="11"/>
      <c r="F14" s="11"/>
      <c r="G14" s="11"/>
      <c r="H14" s="11"/>
      <c r="I14" s="11"/>
    </row>
    <row r="16" customFormat="false" ht="45.75" hidden="false" customHeight="true" outlineLevel="0" collapsed="false">
      <c r="A16" s="20" t="s">
        <v>284</v>
      </c>
      <c r="B16" s="21" t="s">
        <v>350</v>
      </c>
      <c r="C16" s="21"/>
      <c r="D16" s="21"/>
      <c r="E16" s="21"/>
      <c r="F16" s="21"/>
    </row>
    <row r="17" customFormat="false" ht="45.75" hidden="false" customHeight="true" outlineLevel="0" collapsed="false">
      <c r="A17" s="20" t="s">
        <v>286</v>
      </c>
      <c r="B17" s="21" t="s">
        <v>73</v>
      </c>
      <c r="C17" s="21"/>
      <c r="D17" s="21"/>
      <c r="E17" s="21"/>
      <c r="F17" s="21"/>
    </row>
    <row r="18" customFormat="false" ht="45.75" hidden="false" customHeight="true" outlineLevel="0" collapsed="false">
      <c r="A18" s="20" t="s">
        <v>287</v>
      </c>
      <c r="B18" s="22" t="s">
        <v>74</v>
      </c>
      <c r="C18" s="22"/>
      <c r="D18" s="22"/>
      <c r="E18" s="22"/>
      <c r="F18" s="22"/>
    </row>
    <row r="19" customFormat="false" ht="45.75" hidden="false" customHeight="true" outlineLevel="0" collapsed="false">
      <c r="A19" s="20" t="s">
        <v>288</v>
      </c>
      <c r="B19" s="21" t="s">
        <v>351</v>
      </c>
      <c r="C19" s="21"/>
      <c r="D19" s="21"/>
      <c r="E19" s="21"/>
      <c r="F19" s="21"/>
    </row>
    <row r="21" customFormat="false" ht="15" hidden="false" customHeight="false" outlineLevel="0" collapsed="false">
      <c r="A21" s="23" t="s">
        <v>290</v>
      </c>
      <c r="B21" s="24"/>
      <c r="C21" s="24"/>
      <c r="D21" s="24"/>
      <c r="E21" s="24"/>
      <c r="F21" s="24"/>
    </row>
    <row r="22" customFormat="false" ht="15" hidden="false" customHeight="false" outlineLevel="0" collapsed="false">
      <c r="B22" s="24"/>
      <c r="C22" s="24"/>
      <c r="D22" s="24"/>
      <c r="E22" s="24"/>
      <c r="F22" s="24"/>
    </row>
    <row r="23" customFormat="false" ht="15" hidden="false" customHeight="false" outlineLevel="0" collapsed="false">
      <c r="B23" s="24"/>
      <c r="C23" s="24"/>
      <c r="D23" s="24"/>
      <c r="E23" s="24"/>
      <c r="F23" s="24"/>
    </row>
    <row r="24" customFormat="false" ht="15" hidden="false" customHeight="false" outlineLevel="0" collapsed="false">
      <c r="B24" s="24"/>
      <c r="C24" s="24"/>
      <c r="D24" s="24"/>
      <c r="E24" s="24"/>
      <c r="F24" s="24"/>
    </row>
  </sheetData>
  <mergeCells count="5">
    <mergeCell ref="A3:E3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76</v>
      </c>
    </row>
    <row r="2" customFormat="false" ht="15" hidden="false" customHeight="false" outlineLevel="0" collapsed="false">
      <c r="A2" s="16" t="s">
        <v>352</v>
      </c>
    </row>
    <row r="3" customFormat="false" ht="30" hidden="false" customHeight="true" outlineLevel="0" collapsed="false">
      <c r="A3" s="17" t="s">
        <v>78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256</v>
      </c>
      <c r="B7" s="7" t="s">
        <v>353</v>
      </c>
      <c r="C7" s="7" t="s">
        <v>354</v>
      </c>
      <c r="D7" s="7" t="s">
        <v>355</v>
      </c>
      <c r="E7" s="7" t="s">
        <v>308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261</v>
      </c>
      <c r="B8" s="7" t="s">
        <v>356</v>
      </c>
      <c r="C8" s="7" t="s">
        <v>357</v>
      </c>
      <c r="D8" s="7" t="s">
        <v>358</v>
      </c>
      <c r="E8" s="7" t="s">
        <v>359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57.75" hidden="false" customHeight="true" outlineLevel="0" collapsed="false">
      <c r="A9" s="7" t="s">
        <v>265</v>
      </c>
      <c r="B9" s="7" t="s">
        <v>360</v>
      </c>
      <c r="C9" s="7" t="s">
        <v>361</v>
      </c>
      <c r="D9" s="7" t="s">
        <v>312</v>
      </c>
      <c r="E9" s="7" t="s">
        <v>362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57.75" hidden="false" customHeight="true" outlineLevel="0" collapsed="false">
      <c r="A10" s="7" t="s">
        <v>269</v>
      </c>
      <c r="B10" s="7" t="s">
        <v>363</v>
      </c>
      <c r="C10" s="7" t="s">
        <v>364</v>
      </c>
      <c r="D10" s="7" t="s">
        <v>365</v>
      </c>
      <c r="E10" s="7" t="s">
        <v>366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2" customFormat="false" ht="15" hidden="false" customHeight="false" outlineLevel="0" collapsed="false">
      <c r="A12" s="18" t="s">
        <v>273</v>
      </c>
      <c r="B12" s="19"/>
      <c r="C12" s="19"/>
      <c r="D12" s="19"/>
      <c r="E12" s="19"/>
      <c r="F12" s="19"/>
      <c r="G12" s="19"/>
      <c r="H12" s="19"/>
    </row>
    <row r="13" customFormat="false" ht="30" hidden="false" customHeight="true" outlineLevel="0" collapsed="false">
      <c r="A13" s="6" t="s">
        <v>274</v>
      </c>
      <c r="B13" s="6" t="s">
        <v>275</v>
      </c>
      <c r="C13" s="6" t="s">
        <v>276</v>
      </c>
      <c r="D13" s="6" t="s">
        <v>246</v>
      </c>
      <c r="E13" s="6" t="s">
        <v>247</v>
      </c>
      <c r="F13" s="6" t="s">
        <v>277</v>
      </c>
      <c r="G13" s="6" t="s">
        <v>278</v>
      </c>
      <c r="H13" s="6" t="s">
        <v>279</v>
      </c>
      <c r="I13" s="6" t="s">
        <v>253</v>
      </c>
    </row>
    <row r="14" customFormat="false" ht="23.85" hidden="false" customHeight="false" outlineLevel="0" collapsed="false">
      <c r="A14" s="7" t="n">
        <v>1</v>
      </c>
      <c r="B14" s="7" t="s">
        <v>367</v>
      </c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7" t="n">
        <v>2</v>
      </c>
      <c r="B15" s="7" t="s">
        <v>368</v>
      </c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7" t="n">
        <v>3</v>
      </c>
      <c r="B16" s="7" t="s">
        <v>369</v>
      </c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7" t="n">
        <v>4</v>
      </c>
      <c r="B17" s="7" t="s">
        <v>370</v>
      </c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7" t="n">
        <v>5</v>
      </c>
      <c r="B18" s="7" t="s">
        <v>371</v>
      </c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6</v>
      </c>
      <c r="B19" s="7" t="s">
        <v>372</v>
      </c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7" t="n">
        <v>7</v>
      </c>
      <c r="B20" s="7" t="s">
        <v>373</v>
      </c>
      <c r="C20" s="11"/>
      <c r="D20" s="11"/>
      <c r="E20" s="11"/>
      <c r="F20" s="11"/>
      <c r="G20" s="11"/>
      <c r="H20" s="11"/>
      <c r="I20" s="11"/>
    </row>
    <row r="22" customFormat="false" ht="45.75" hidden="false" customHeight="true" outlineLevel="0" collapsed="false">
      <c r="A22" s="20" t="s">
        <v>284</v>
      </c>
      <c r="B22" s="21" t="s">
        <v>374</v>
      </c>
      <c r="C22" s="21"/>
      <c r="D22" s="21"/>
      <c r="E22" s="21"/>
      <c r="F22" s="21"/>
    </row>
    <row r="23" customFormat="false" ht="45.75" hidden="false" customHeight="true" outlineLevel="0" collapsed="false">
      <c r="A23" s="20" t="s">
        <v>286</v>
      </c>
      <c r="B23" s="21" t="s">
        <v>79</v>
      </c>
      <c r="C23" s="21"/>
      <c r="D23" s="21"/>
      <c r="E23" s="21"/>
      <c r="F23" s="21"/>
    </row>
    <row r="24" customFormat="false" ht="45.75" hidden="false" customHeight="true" outlineLevel="0" collapsed="false">
      <c r="A24" s="20" t="s">
        <v>287</v>
      </c>
      <c r="B24" s="22" t="s">
        <v>80</v>
      </c>
      <c r="C24" s="22"/>
      <c r="D24" s="22"/>
      <c r="E24" s="22"/>
      <c r="F24" s="22"/>
    </row>
    <row r="25" customFormat="false" ht="45.75" hidden="false" customHeight="true" outlineLevel="0" collapsed="false">
      <c r="A25" s="20" t="s">
        <v>288</v>
      </c>
      <c r="B25" s="21" t="s">
        <v>375</v>
      </c>
      <c r="C25" s="21"/>
      <c r="D25" s="21"/>
      <c r="E25" s="21"/>
      <c r="F25" s="21"/>
    </row>
    <row r="27" customFormat="false" ht="15" hidden="false" customHeight="false" outlineLevel="0" collapsed="false">
      <c r="A27" s="23" t="s">
        <v>290</v>
      </c>
      <c r="B27" s="24"/>
      <c r="C27" s="24"/>
      <c r="D27" s="24"/>
      <c r="E27" s="24"/>
      <c r="F27" s="24"/>
    </row>
    <row r="28" customFormat="false" ht="15" hidden="false" customHeight="false" outlineLevel="0" collapsed="false">
      <c r="B28" s="24"/>
      <c r="C28" s="24"/>
      <c r="D28" s="24"/>
      <c r="E28" s="24"/>
      <c r="F28" s="24"/>
    </row>
    <row r="29" customFormat="false" ht="15" hidden="false" customHeight="false" outlineLevel="0" collapsed="false">
      <c r="B29" s="24"/>
      <c r="C29" s="24"/>
      <c r="D29" s="24"/>
      <c r="E29" s="24"/>
      <c r="F29" s="24"/>
    </row>
    <row r="30" customFormat="false" ht="15" hidden="false" customHeight="false" outlineLevel="0" collapsed="false">
      <c r="B30" s="24"/>
      <c r="C30" s="24"/>
      <c r="D30" s="24"/>
      <c r="E30" s="24"/>
      <c r="F30" s="24"/>
    </row>
  </sheetData>
  <mergeCells count="5">
    <mergeCell ref="A3:E3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82</v>
      </c>
    </row>
    <row r="2" customFormat="false" ht="15" hidden="false" customHeight="false" outlineLevel="0" collapsed="false">
      <c r="A2" s="16" t="s">
        <v>376</v>
      </c>
    </row>
    <row r="3" customFormat="false" ht="30" hidden="false" customHeight="true" outlineLevel="0" collapsed="false">
      <c r="A3" s="17" t="s">
        <v>84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377</v>
      </c>
      <c r="B7" s="7" t="s">
        <v>378</v>
      </c>
      <c r="C7" s="7" t="s">
        <v>379</v>
      </c>
      <c r="D7" s="7" t="s">
        <v>380</v>
      </c>
      <c r="E7" s="7" t="s">
        <v>308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381</v>
      </c>
      <c r="B8" s="7" t="s">
        <v>382</v>
      </c>
      <c r="C8" s="7" t="s">
        <v>383</v>
      </c>
      <c r="D8" s="7" t="s">
        <v>384</v>
      </c>
      <c r="E8" s="7" t="s">
        <v>385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57.75" hidden="false" customHeight="true" outlineLevel="0" collapsed="false">
      <c r="A9" s="7" t="s">
        <v>386</v>
      </c>
      <c r="B9" s="7" t="s">
        <v>387</v>
      </c>
      <c r="C9" s="7" t="s">
        <v>388</v>
      </c>
      <c r="D9" s="7" t="s">
        <v>389</v>
      </c>
      <c r="E9" s="7" t="s">
        <v>385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57.75" hidden="false" customHeight="true" outlineLevel="0" collapsed="false">
      <c r="A10" s="7" t="s">
        <v>269</v>
      </c>
      <c r="B10" s="7" t="s">
        <v>390</v>
      </c>
      <c r="C10" s="7" t="s">
        <v>391</v>
      </c>
      <c r="D10" s="7" t="s">
        <v>392</v>
      </c>
      <c r="E10" s="7" t="s">
        <v>317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2" customFormat="false" ht="15" hidden="false" customHeight="false" outlineLevel="0" collapsed="false">
      <c r="A12" s="18" t="s">
        <v>273</v>
      </c>
      <c r="B12" s="19"/>
      <c r="C12" s="19"/>
      <c r="D12" s="19"/>
      <c r="E12" s="19"/>
      <c r="F12" s="19"/>
      <c r="G12" s="19"/>
      <c r="H12" s="19"/>
    </row>
    <row r="13" customFormat="false" ht="30" hidden="false" customHeight="true" outlineLevel="0" collapsed="false">
      <c r="A13" s="6" t="s">
        <v>274</v>
      </c>
      <c r="B13" s="6" t="s">
        <v>275</v>
      </c>
      <c r="C13" s="6" t="s">
        <v>276</v>
      </c>
      <c r="D13" s="6" t="s">
        <v>246</v>
      </c>
      <c r="E13" s="6" t="s">
        <v>247</v>
      </c>
      <c r="F13" s="6" t="s">
        <v>277</v>
      </c>
      <c r="G13" s="6" t="s">
        <v>278</v>
      </c>
      <c r="H13" s="6" t="s">
        <v>279</v>
      </c>
      <c r="I13" s="6" t="s">
        <v>253</v>
      </c>
    </row>
    <row r="14" customFormat="false" ht="15" hidden="false" customHeight="false" outlineLevel="0" collapsed="false">
      <c r="A14" s="7" t="n">
        <v>1</v>
      </c>
      <c r="B14" s="7" t="s">
        <v>393</v>
      </c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7" t="n">
        <v>2</v>
      </c>
      <c r="B15" s="7" t="s">
        <v>388</v>
      </c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7" t="n">
        <v>3</v>
      </c>
      <c r="B16" s="7" t="s">
        <v>383</v>
      </c>
      <c r="C16" s="11"/>
      <c r="D16" s="11"/>
      <c r="E16" s="11"/>
      <c r="F16" s="11"/>
      <c r="G16" s="11"/>
      <c r="H16" s="11"/>
      <c r="I16" s="11"/>
    </row>
    <row r="17" customFormat="false" ht="23.85" hidden="false" customHeight="false" outlineLevel="0" collapsed="false">
      <c r="A17" s="7" t="n">
        <v>4</v>
      </c>
      <c r="B17" s="7" t="s">
        <v>394</v>
      </c>
      <c r="C17" s="11"/>
      <c r="D17" s="11"/>
      <c r="E17" s="11"/>
      <c r="F17" s="11"/>
      <c r="G17" s="11"/>
      <c r="H17" s="11"/>
      <c r="I17" s="11"/>
    </row>
    <row r="19" customFormat="false" ht="45.75" hidden="false" customHeight="true" outlineLevel="0" collapsed="false">
      <c r="A19" s="20" t="s">
        <v>284</v>
      </c>
      <c r="B19" s="21" t="s">
        <v>395</v>
      </c>
      <c r="C19" s="21"/>
      <c r="D19" s="21"/>
      <c r="E19" s="21"/>
      <c r="F19" s="21"/>
    </row>
    <row r="20" customFormat="false" ht="45.75" hidden="false" customHeight="true" outlineLevel="0" collapsed="false">
      <c r="A20" s="20" t="s">
        <v>286</v>
      </c>
      <c r="B20" s="21" t="s">
        <v>85</v>
      </c>
      <c r="C20" s="21"/>
      <c r="D20" s="21"/>
      <c r="E20" s="21"/>
      <c r="F20" s="21"/>
    </row>
    <row r="21" customFormat="false" ht="45.75" hidden="false" customHeight="true" outlineLevel="0" collapsed="false">
      <c r="A21" s="20" t="s">
        <v>287</v>
      </c>
      <c r="B21" s="22" t="s">
        <v>86</v>
      </c>
      <c r="C21" s="22"/>
      <c r="D21" s="22"/>
      <c r="E21" s="22"/>
      <c r="F21" s="22"/>
    </row>
    <row r="22" customFormat="false" ht="45.75" hidden="false" customHeight="true" outlineLevel="0" collapsed="false">
      <c r="A22" s="20" t="s">
        <v>288</v>
      </c>
      <c r="B22" s="21" t="s">
        <v>396</v>
      </c>
      <c r="C22" s="21"/>
      <c r="D22" s="21"/>
      <c r="E22" s="21"/>
      <c r="F22" s="21"/>
    </row>
    <row r="24" customFormat="false" ht="15" hidden="false" customHeight="false" outlineLevel="0" collapsed="false">
      <c r="A24" s="23" t="s">
        <v>290</v>
      </c>
      <c r="B24" s="24"/>
      <c r="C24" s="24"/>
      <c r="D24" s="24"/>
      <c r="E24" s="24"/>
      <c r="F24" s="24"/>
    </row>
    <row r="25" customFormat="false" ht="15" hidden="false" customHeight="false" outlineLevel="0" collapsed="false">
      <c r="B25" s="24"/>
      <c r="C25" s="24"/>
      <c r="D25" s="24"/>
      <c r="E25" s="24"/>
      <c r="F25" s="24"/>
    </row>
    <row r="26" customFormat="false" ht="15" hidden="false" customHeight="false" outlineLevel="0" collapsed="false">
      <c r="B26" s="24"/>
      <c r="C26" s="24"/>
      <c r="D26" s="24"/>
      <c r="E26" s="24"/>
      <c r="F26" s="24"/>
    </row>
    <row r="27" customFormat="false" ht="15" hidden="false" customHeight="false" outlineLevel="0" collapsed="false">
      <c r="B27" s="24"/>
      <c r="C27" s="24"/>
      <c r="D27" s="24"/>
      <c r="E27" s="24"/>
      <c r="F27" s="24"/>
    </row>
  </sheetData>
  <mergeCells count="5">
    <mergeCell ref="A3:E3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88</v>
      </c>
    </row>
    <row r="2" customFormat="false" ht="15" hidden="false" customHeight="false" outlineLevel="0" collapsed="false">
      <c r="A2" s="16" t="s">
        <v>397</v>
      </c>
    </row>
    <row r="3" customFormat="false" ht="30" hidden="false" customHeight="true" outlineLevel="0" collapsed="false">
      <c r="A3" s="17" t="s">
        <v>90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256</v>
      </c>
      <c r="B7" s="7" t="s">
        <v>398</v>
      </c>
      <c r="C7" s="7" t="s">
        <v>399</v>
      </c>
      <c r="D7" s="7" t="s">
        <v>400</v>
      </c>
      <c r="E7" s="7" t="s">
        <v>401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261</v>
      </c>
      <c r="B8" s="7" t="s">
        <v>402</v>
      </c>
      <c r="C8" s="7" t="s">
        <v>403</v>
      </c>
      <c r="D8" s="7" t="s">
        <v>404</v>
      </c>
      <c r="E8" s="7" t="s">
        <v>385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customFormat="false" ht="15" hidden="false" customHeight="false" outlineLevel="0" collapsed="false">
      <c r="A10" s="18" t="s">
        <v>273</v>
      </c>
      <c r="B10" s="19"/>
      <c r="C10" s="19"/>
      <c r="D10" s="19"/>
      <c r="E10" s="19"/>
      <c r="F10" s="19"/>
      <c r="G10" s="19"/>
      <c r="H10" s="19"/>
    </row>
    <row r="11" customFormat="false" ht="30" hidden="false" customHeight="true" outlineLevel="0" collapsed="false">
      <c r="A11" s="6" t="s">
        <v>274</v>
      </c>
      <c r="B11" s="6" t="s">
        <v>275</v>
      </c>
      <c r="C11" s="6" t="s">
        <v>276</v>
      </c>
      <c r="D11" s="6" t="s">
        <v>246</v>
      </c>
      <c r="E11" s="6" t="s">
        <v>247</v>
      </c>
      <c r="F11" s="6" t="s">
        <v>277</v>
      </c>
      <c r="G11" s="6" t="s">
        <v>278</v>
      </c>
      <c r="H11" s="6" t="s">
        <v>279</v>
      </c>
      <c r="I11" s="6" t="s">
        <v>253</v>
      </c>
    </row>
    <row r="12" customFormat="false" ht="23.85" hidden="false" customHeight="false" outlineLevel="0" collapsed="false">
      <c r="A12" s="7" t="n">
        <v>1</v>
      </c>
      <c r="B12" s="7" t="s">
        <v>405</v>
      </c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7" t="n">
        <v>2</v>
      </c>
      <c r="B13" s="7" t="s">
        <v>406</v>
      </c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7" t="n">
        <v>3</v>
      </c>
      <c r="B14" s="7" t="s">
        <v>407</v>
      </c>
      <c r="C14" s="11"/>
      <c r="D14" s="11"/>
      <c r="E14" s="11"/>
      <c r="F14" s="11"/>
      <c r="G14" s="11"/>
      <c r="H14" s="11"/>
      <c r="I14" s="11"/>
    </row>
    <row r="16" customFormat="false" ht="45.75" hidden="false" customHeight="true" outlineLevel="0" collapsed="false">
      <c r="A16" s="20" t="s">
        <v>284</v>
      </c>
      <c r="B16" s="21" t="s">
        <v>408</v>
      </c>
      <c r="C16" s="21"/>
      <c r="D16" s="21"/>
      <c r="E16" s="21"/>
      <c r="F16" s="21"/>
    </row>
    <row r="17" customFormat="false" ht="45.75" hidden="false" customHeight="true" outlineLevel="0" collapsed="false">
      <c r="A17" s="20" t="s">
        <v>286</v>
      </c>
      <c r="B17" s="21" t="s">
        <v>91</v>
      </c>
      <c r="C17" s="21"/>
      <c r="D17" s="21"/>
      <c r="E17" s="21"/>
      <c r="F17" s="21"/>
    </row>
    <row r="18" customFormat="false" ht="45.75" hidden="false" customHeight="true" outlineLevel="0" collapsed="false">
      <c r="A18" s="20" t="s">
        <v>287</v>
      </c>
      <c r="B18" s="22" t="s">
        <v>92</v>
      </c>
      <c r="C18" s="22"/>
      <c r="D18" s="22"/>
      <c r="E18" s="22"/>
      <c r="F18" s="22"/>
    </row>
    <row r="19" customFormat="false" ht="45.75" hidden="false" customHeight="true" outlineLevel="0" collapsed="false">
      <c r="A19" s="20" t="s">
        <v>288</v>
      </c>
      <c r="B19" s="21" t="s">
        <v>409</v>
      </c>
      <c r="C19" s="21"/>
      <c r="D19" s="21"/>
      <c r="E19" s="21"/>
      <c r="F19" s="21"/>
    </row>
    <row r="21" customFormat="false" ht="15" hidden="false" customHeight="false" outlineLevel="0" collapsed="false">
      <c r="A21" s="23" t="s">
        <v>290</v>
      </c>
      <c r="B21" s="24"/>
      <c r="C21" s="24"/>
      <c r="D21" s="24"/>
      <c r="E21" s="24"/>
      <c r="F21" s="24"/>
    </row>
    <row r="22" customFormat="false" ht="15" hidden="false" customHeight="false" outlineLevel="0" collapsed="false">
      <c r="B22" s="24"/>
      <c r="C22" s="24"/>
      <c r="D22" s="24"/>
      <c r="E22" s="24"/>
      <c r="F22" s="24"/>
    </row>
    <row r="23" customFormat="false" ht="15" hidden="false" customHeight="false" outlineLevel="0" collapsed="false">
      <c r="B23" s="24"/>
      <c r="C23" s="24"/>
      <c r="D23" s="24"/>
      <c r="E23" s="24"/>
      <c r="F23" s="24"/>
    </row>
    <row r="24" customFormat="false" ht="15" hidden="false" customHeight="false" outlineLevel="0" collapsed="false">
      <c r="B24" s="24"/>
      <c r="C24" s="24"/>
      <c r="D24" s="24"/>
      <c r="E24" s="24"/>
      <c r="F24" s="24"/>
    </row>
  </sheetData>
  <mergeCells count="5">
    <mergeCell ref="A3:E3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94</v>
      </c>
    </row>
    <row r="2" customFormat="false" ht="15" hidden="false" customHeight="false" outlineLevel="0" collapsed="false">
      <c r="A2" s="16" t="s">
        <v>410</v>
      </c>
    </row>
    <row r="3" customFormat="false" ht="30" hidden="false" customHeight="true" outlineLevel="0" collapsed="false">
      <c r="A3" s="17" t="s">
        <v>96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411</v>
      </c>
      <c r="B7" s="7" t="s">
        <v>412</v>
      </c>
      <c r="C7" s="7" t="s">
        <v>413</v>
      </c>
      <c r="D7" s="7" t="s">
        <v>414</v>
      </c>
      <c r="E7" s="7" t="s">
        <v>308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415</v>
      </c>
      <c r="B8" s="7" t="s">
        <v>416</v>
      </c>
      <c r="C8" s="7" t="s">
        <v>417</v>
      </c>
      <c r="D8" s="7" t="s">
        <v>418</v>
      </c>
      <c r="E8" s="7" t="s">
        <v>419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57.75" hidden="false" customHeight="true" outlineLevel="0" collapsed="false">
      <c r="A9" s="7" t="s">
        <v>420</v>
      </c>
      <c r="B9" s="7" t="s">
        <v>421</v>
      </c>
      <c r="C9" s="7" t="s">
        <v>422</v>
      </c>
      <c r="D9" s="7" t="s">
        <v>414</v>
      </c>
      <c r="E9" s="7" t="s">
        <v>308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57.75" hidden="false" customHeight="true" outlineLevel="0" collapsed="false">
      <c r="A10" s="7" t="s">
        <v>423</v>
      </c>
      <c r="B10" s="7" t="s">
        <v>424</v>
      </c>
      <c r="C10" s="7" t="s">
        <v>425</v>
      </c>
      <c r="D10" s="7" t="s">
        <v>426</v>
      </c>
      <c r="E10" s="7" t="s">
        <v>427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customFormat="false" ht="57.75" hidden="false" customHeight="true" outlineLevel="0" collapsed="false">
      <c r="A11" s="7" t="s">
        <v>428</v>
      </c>
      <c r="B11" s="7" t="s">
        <v>429</v>
      </c>
      <c r="C11" s="7" t="s">
        <v>430</v>
      </c>
      <c r="D11" s="7" t="s">
        <v>431</v>
      </c>
      <c r="E11" s="7" t="s">
        <v>427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3" customFormat="false" ht="15" hidden="false" customHeight="false" outlineLevel="0" collapsed="false">
      <c r="A13" s="18" t="s">
        <v>273</v>
      </c>
      <c r="B13" s="19"/>
      <c r="C13" s="19"/>
      <c r="D13" s="19"/>
      <c r="E13" s="19"/>
      <c r="F13" s="19"/>
      <c r="G13" s="19"/>
      <c r="H13" s="19"/>
    </row>
    <row r="14" customFormat="false" ht="30" hidden="false" customHeight="true" outlineLevel="0" collapsed="false">
      <c r="A14" s="6" t="s">
        <v>274</v>
      </c>
      <c r="B14" s="6" t="s">
        <v>275</v>
      </c>
      <c r="C14" s="6" t="s">
        <v>276</v>
      </c>
      <c r="D14" s="6" t="s">
        <v>246</v>
      </c>
      <c r="E14" s="6" t="s">
        <v>247</v>
      </c>
      <c r="F14" s="6" t="s">
        <v>277</v>
      </c>
      <c r="G14" s="6" t="s">
        <v>278</v>
      </c>
      <c r="H14" s="6" t="s">
        <v>279</v>
      </c>
      <c r="I14" s="6" t="s">
        <v>253</v>
      </c>
    </row>
    <row r="15" customFormat="false" ht="15" hidden="false" customHeight="false" outlineLevel="0" collapsed="false">
      <c r="A15" s="7" t="n">
        <v>1</v>
      </c>
      <c r="B15" s="7" t="s">
        <v>432</v>
      </c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7" t="n">
        <v>2</v>
      </c>
      <c r="B16" s="7" t="s">
        <v>433</v>
      </c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7" t="n">
        <v>3</v>
      </c>
      <c r="B17" s="7" t="s">
        <v>434</v>
      </c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7" t="n">
        <v>4</v>
      </c>
      <c r="B18" s="7" t="s">
        <v>435</v>
      </c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5</v>
      </c>
      <c r="B19" s="7" t="s">
        <v>436</v>
      </c>
      <c r="C19" s="11"/>
      <c r="D19" s="11"/>
      <c r="E19" s="11"/>
      <c r="F19" s="11"/>
      <c r="G19" s="11"/>
      <c r="H19" s="11"/>
      <c r="I19" s="11"/>
    </row>
    <row r="21" customFormat="false" ht="45.75" hidden="false" customHeight="true" outlineLevel="0" collapsed="false">
      <c r="A21" s="20" t="s">
        <v>284</v>
      </c>
      <c r="B21" s="21" t="s">
        <v>437</v>
      </c>
      <c r="C21" s="21"/>
      <c r="D21" s="21"/>
      <c r="E21" s="21"/>
      <c r="F21" s="21"/>
    </row>
    <row r="22" customFormat="false" ht="45.75" hidden="false" customHeight="true" outlineLevel="0" collapsed="false">
      <c r="A22" s="20" t="s">
        <v>286</v>
      </c>
      <c r="B22" s="21" t="s">
        <v>97</v>
      </c>
      <c r="C22" s="21"/>
      <c r="D22" s="21"/>
      <c r="E22" s="21"/>
      <c r="F22" s="21"/>
    </row>
    <row r="23" customFormat="false" ht="45.75" hidden="false" customHeight="true" outlineLevel="0" collapsed="false">
      <c r="A23" s="20" t="s">
        <v>287</v>
      </c>
      <c r="B23" s="22" t="s">
        <v>98</v>
      </c>
      <c r="C23" s="22"/>
      <c r="D23" s="22"/>
      <c r="E23" s="22"/>
      <c r="F23" s="22"/>
    </row>
    <row r="24" customFormat="false" ht="45.75" hidden="false" customHeight="true" outlineLevel="0" collapsed="false">
      <c r="A24" s="20" t="s">
        <v>288</v>
      </c>
      <c r="B24" s="21" t="s">
        <v>438</v>
      </c>
      <c r="C24" s="21"/>
      <c r="D24" s="21"/>
      <c r="E24" s="21"/>
      <c r="F24" s="21"/>
    </row>
    <row r="26" customFormat="false" ht="15" hidden="false" customHeight="false" outlineLevel="0" collapsed="false">
      <c r="A26" s="23" t="s">
        <v>290</v>
      </c>
      <c r="B26" s="24"/>
      <c r="C26" s="24"/>
      <c r="D26" s="24"/>
      <c r="E26" s="24"/>
      <c r="F26" s="24"/>
    </row>
    <row r="27" customFormat="false" ht="15" hidden="false" customHeight="false" outlineLevel="0" collapsed="false">
      <c r="B27" s="24"/>
      <c r="C27" s="24"/>
      <c r="D27" s="24"/>
      <c r="E27" s="24"/>
      <c r="F27" s="24"/>
    </row>
    <row r="28" customFormat="false" ht="15" hidden="false" customHeight="false" outlineLevel="0" collapsed="false">
      <c r="B28" s="24"/>
      <c r="C28" s="24"/>
      <c r="D28" s="24"/>
      <c r="E28" s="24"/>
      <c r="F28" s="24"/>
    </row>
    <row r="29" customFormat="false" ht="15" hidden="false" customHeight="false" outlineLevel="0" collapsed="false">
      <c r="B29" s="24"/>
      <c r="C29" s="24"/>
      <c r="D29" s="24"/>
      <c r="E29" s="24"/>
      <c r="F29" s="24"/>
    </row>
  </sheetData>
  <mergeCells count="5">
    <mergeCell ref="A3:E3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100</v>
      </c>
    </row>
    <row r="2" customFormat="false" ht="15" hidden="false" customHeight="false" outlineLevel="0" collapsed="false">
      <c r="A2" s="16" t="s">
        <v>439</v>
      </c>
    </row>
    <row r="3" customFormat="false" ht="30" hidden="false" customHeight="true" outlineLevel="0" collapsed="false">
      <c r="A3" s="17" t="s">
        <v>102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256</v>
      </c>
      <c r="B7" s="7" t="s">
        <v>440</v>
      </c>
      <c r="C7" s="7" t="s">
        <v>441</v>
      </c>
      <c r="D7" s="7" t="s">
        <v>442</v>
      </c>
      <c r="E7" s="7" t="s">
        <v>443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261</v>
      </c>
      <c r="B8" s="7" t="s">
        <v>444</v>
      </c>
      <c r="C8" s="7" t="s">
        <v>445</v>
      </c>
      <c r="D8" s="7" t="s">
        <v>446</v>
      </c>
      <c r="E8" s="7" t="s">
        <v>447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57.75" hidden="false" customHeight="true" outlineLevel="0" collapsed="false">
      <c r="A9" s="7" t="s">
        <v>265</v>
      </c>
      <c r="B9" s="7" t="s">
        <v>448</v>
      </c>
      <c r="C9" s="7" t="s">
        <v>449</v>
      </c>
      <c r="D9" s="7" t="s">
        <v>450</v>
      </c>
      <c r="E9" s="7" t="s">
        <v>346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1" customFormat="false" ht="15" hidden="false" customHeight="false" outlineLevel="0" collapsed="false">
      <c r="A11" s="18" t="s">
        <v>273</v>
      </c>
      <c r="B11" s="19"/>
      <c r="C11" s="19"/>
      <c r="D11" s="19"/>
      <c r="E11" s="19"/>
      <c r="F11" s="19"/>
      <c r="G11" s="19"/>
      <c r="H11" s="19"/>
    </row>
    <row r="12" customFormat="false" ht="30" hidden="false" customHeight="true" outlineLevel="0" collapsed="false">
      <c r="A12" s="6" t="s">
        <v>274</v>
      </c>
      <c r="B12" s="6" t="s">
        <v>275</v>
      </c>
      <c r="C12" s="6" t="s">
        <v>276</v>
      </c>
      <c r="D12" s="6" t="s">
        <v>246</v>
      </c>
      <c r="E12" s="6" t="s">
        <v>247</v>
      </c>
      <c r="F12" s="6" t="s">
        <v>277</v>
      </c>
      <c r="G12" s="6" t="s">
        <v>278</v>
      </c>
      <c r="H12" s="6" t="s">
        <v>279</v>
      </c>
      <c r="I12" s="6" t="s">
        <v>253</v>
      </c>
    </row>
    <row r="13" customFormat="false" ht="15" hidden="false" customHeight="false" outlineLevel="0" collapsed="false">
      <c r="A13" s="7" t="n">
        <v>1</v>
      </c>
      <c r="B13" s="7" t="s">
        <v>451</v>
      </c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7" t="n">
        <v>2</v>
      </c>
      <c r="B14" s="7" t="s">
        <v>452</v>
      </c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7" t="n">
        <v>3</v>
      </c>
      <c r="B15" s="7" t="s">
        <v>453</v>
      </c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7" t="n">
        <v>4</v>
      </c>
      <c r="B16" s="7" t="s">
        <v>454</v>
      </c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7" t="n">
        <v>5</v>
      </c>
      <c r="B17" s="7" t="s">
        <v>455</v>
      </c>
      <c r="C17" s="11"/>
      <c r="D17" s="11"/>
      <c r="E17" s="11"/>
      <c r="F17" s="11"/>
      <c r="G17" s="11"/>
      <c r="H17" s="11"/>
      <c r="I17" s="11"/>
    </row>
    <row r="19" customFormat="false" ht="45.75" hidden="false" customHeight="true" outlineLevel="0" collapsed="false">
      <c r="A19" s="20" t="s">
        <v>284</v>
      </c>
      <c r="B19" s="21" t="s">
        <v>456</v>
      </c>
      <c r="C19" s="21"/>
      <c r="D19" s="21"/>
      <c r="E19" s="21"/>
      <c r="F19" s="21"/>
    </row>
    <row r="20" customFormat="false" ht="45.75" hidden="false" customHeight="true" outlineLevel="0" collapsed="false">
      <c r="A20" s="20" t="s">
        <v>286</v>
      </c>
      <c r="B20" s="21" t="s">
        <v>103</v>
      </c>
      <c r="C20" s="21"/>
      <c r="D20" s="21"/>
      <c r="E20" s="21"/>
      <c r="F20" s="21"/>
    </row>
    <row r="21" customFormat="false" ht="45.75" hidden="false" customHeight="true" outlineLevel="0" collapsed="false">
      <c r="A21" s="20" t="s">
        <v>287</v>
      </c>
      <c r="B21" s="22" t="s">
        <v>104</v>
      </c>
      <c r="C21" s="22"/>
      <c r="D21" s="22"/>
      <c r="E21" s="22"/>
      <c r="F21" s="22"/>
    </row>
    <row r="22" customFormat="false" ht="45.75" hidden="false" customHeight="true" outlineLevel="0" collapsed="false">
      <c r="A22" s="20" t="s">
        <v>288</v>
      </c>
      <c r="B22" s="21" t="s">
        <v>457</v>
      </c>
      <c r="C22" s="21"/>
      <c r="D22" s="21"/>
      <c r="E22" s="21"/>
      <c r="F22" s="21"/>
    </row>
    <row r="24" customFormat="false" ht="15" hidden="false" customHeight="false" outlineLevel="0" collapsed="false">
      <c r="A24" s="23" t="s">
        <v>290</v>
      </c>
      <c r="B24" s="24"/>
      <c r="C24" s="24"/>
      <c r="D24" s="24"/>
      <c r="E24" s="24"/>
      <c r="F24" s="24"/>
    </row>
    <row r="25" customFormat="false" ht="15" hidden="false" customHeight="false" outlineLevel="0" collapsed="false">
      <c r="B25" s="24"/>
      <c r="C25" s="24"/>
      <c r="D25" s="24"/>
      <c r="E25" s="24"/>
      <c r="F25" s="24"/>
    </row>
    <row r="26" customFormat="false" ht="15" hidden="false" customHeight="false" outlineLevel="0" collapsed="false">
      <c r="B26" s="24"/>
      <c r="C26" s="24"/>
      <c r="D26" s="24"/>
      <c r="E26" s="24"/>
      <c r="F26" s="24"/>
    </row>
    <row r="27" customFormat="false" ht="15" hidden="false" customHeight="false" outlineLevel="0" collapsed="false">
      <c r="B27" s="24"/>
      <c r="C27" s="24"/>
      <c r="D27" s="24"/>
      <c r="E27" s="24"/>
      <c r="F27" s="24"/>
    </row>
  </sheetData>
  <mergeCells count="5">
    <mergeCell ref="A3:E3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106</v>
      </c>
    </row>
    <row r="2" customFormat="false" ht="15" hidden="false" customHeight="false" outlineLevel="0" collapsed="false">
      <c r="A2" s="16" t="s">
        <v>458</v>
      </c>
    </row>
    <row r="3" customFormat="false" ht="30" hidden="false" customHeight="true" outlineLevel="0" collapsed="false">
      <c r="A3" s="17" t="s">
        <v>108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459</v>
      </c>
      <c r="B7" s="7" t="s">
        <v>460</v>
      </c>
      <c r="C7" s="7" t="s">
        <v>461</v>
      </c>
      <c r="D7" s="7" t="s">
        <v>462</v>
      </c>
      <c r="E7" s="7" t="s">
        <v>463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464</v>
      </c>
      <c r="B8" s="7" t="s">
        <v>465</v>
      </c>
      <c r="C8" s="7" t="s">
        <v>466</v>
      </c>
      <c r="D8" s="7" t="s">
        <v>467</v>
      </c>
      <c r="E8" s="7" t="s">
        <v>468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57.75" hidden="false" customHeight="true" outlineLevel="0" collapsed="false">
      <c r="A9" s="7" t="s">
        <v>469</v>
      </c>
      <c r="B9" s="7" t="s">
        <v>470</v>
      </c>
      <c r="C9" s="7" t="s">
        <v>471</v>
      </c>
      <c r="D9" s="7" t="s">
        <v>472</v>
      </c>
      <c r="E9" s="7" t="s">
        <v>468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57.75" hidden="false" customHeight="true" outlineLevel="0" collapsed="false">
      <c r="A10" s="7" t="s">
        <v>473</v>
      </c>
      <c r="B10" s="7" t="s">
        <v>474</v>
      </c>
      <c r="C10" s="7" t="s">
        <v>475</v>
      </c>
      <c r="D10" s="7" t="s">
        <v>476</v>
      </c>
      <c r="E10" s="7" t="s">
        <v>477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2" customFormat="false" ht="15" hidden="false" customHeight="false" outlineLevel="0" collapsed="false">
      <c r="A12" s="18" t="s">
        <v>273</v>
      </c>
      <c r="B12" s="19"/>
      <c r="C12" s="19"/>
      <c r="D12" s="19"/>
      <c r="E12" s="19"/>
      <c r="F12" s="19"/>
      <c r="G12" s="19"/>
      <c r="H12" s="19"/>
    </row>
    <row r="13" customFormat="false" ht="30" hidden="false" customHeight="true" outlineLevel="0" collapsed="false">
      <c r="A13" s="6" t="s">
        <v>274</v>
      </c>
      <c r="B13" s="6" t="s">
        <v>275</v>
      </c>
      <c r="C13" s="6" t="s">
        <v>276</v>
      </c>
      <c r="D13" s="6" t="s">
        <v>246</v>
      </c>
      <c r="E13" s="6" t="s">
        <v>247</v>
      </c>
      <c r="F13" s="6" t="s">
        <v>277</v>
      </c>
      <c r="G13" s="6" t="s">
        <v>278</v>
      </c>
      <c r="H13" s="6" t="s">
        <v>279</v>
      </c>
      <c r="I13" s="6" t="s">
        <v>253</v>
      </c>
    </row>
    <row r="14" customFormat="false" ht="15" hidden="false" customHeight="false" outlineLevel="0" collapsed="false">
      <c r="A14" s="7" t="n">
        <v>1</v>
      </c>
      <c r="B14" s="7" t="s">
        <v>478</v>
      </c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7" t="n">
        <v>2</v>
      </c>
      <c r="B15" s="7" t="s">
        <v>479</v>
      </c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7" t="n">
        <v>3</v>
      </c>
      <c r="B16" s="7" t="s">
        <v>480</v>
      </c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7" t="n">
        <v>4</v>
      </c>
      <c r="B17" s="7" t="s">
        <v>481</v>
      </c>
      <c r="C17" s="11"/>
      <c r="D17" s="11"/>
      <c r="E17" s="11"/>
      <c r="F17" s="11"/>
      <c r="G17" s="11"/>
      <c r="H17" s="11"/>
      <c r="I17" s="11"/>
    </row>
    <row r="19" customFormat="false" ht="45.75" hidden="false" customHeight="true" outlineLevel="0" collapsed="false">
      <c r="A19" s="20" t="s">
        <v>284</v>
      </c>
      <c r="B19" s="21" t="s">
        <v>482</v>
      </c>
      <c r="C19" s="21"/>
      <c r="D19" s="21"/>
      <c r="E19" s="21"/>
      <c r="F19" s="21"/>
    </row>
    <row r="20" customFormat="false" ht="45.75" hidden="false" customHeight="true" outlineLevel="0" collapsed="false">
      <c r="A20" s="20" t="s">
        <v>286</v>
      </c>
      <c r="B20" s="21" t="s">
        <v>109</v>
      </c>
      <c r="C20" s="21"/>
      <c r="D20" s="21"/>
      <c r="E20" s="21"/>
      <c r="F20" s="21"/>
    </row>
    <row r="21" customFormat="false" ht="45.75" hidden="false" customHeight="true" outlineLevel="0" collapsed="false">
      <c r="A21" s="20" t="s">
        <v>287</v>
      </c>
      <c r="B21" s="22" t="s">
        <v>110</v>
      </c>
      <c r="C21" s="22"/>
      <c r="D21" s="22"/>
      <c r="E21" s="22"/>
      <c r="F21" s="22"/>
    </row>
    <row r="22" customFormat="false" ht="45.75" hidden="false" customHeight="true" outlineLevel="0" collapsed="false">
      <c r="A22" s="20" t="s">
        <v>288</v>
      </c>
      <c r="B22" s="21" t="s">
        <v>483</v>
      </c>
      <c r="C22" s="21"/>
      <c r="D22" s="21"/>
      <c r="E22" s="21"/>
      <c r="F22" s="21"/>
    </row>
    <row r="24" customFormat="false" ht="15" hidden="false" customHeight="false" outlineLevel="0" collapsed="false">
      <c r="A24" s="23" t="s">
        <v>290</v>
      </c>
      <c r="B24" s="24"/>
      <c r="C24" s="24"/>
      <c r="D24" s="24"/>
      <c r="E24" s="24"/>
      <c r="F24" s="24"/>
    </row>
    <row r="25" customFormat="false" ht="15" hidden="false" customHeight="false" outlineLevel="0" collapsed="false">
      <c r="B25" s="24"/>
      <c r="C25" s="24"/>
      <c r="D25" s="24"/>
      <c r="E25" s="24"/>
      <c r="F25" s="24"/>
    </row>
    <row r="26" customFormat="false" ht="15" hidden="false" customHeight="false" outlineLevel="0" collapsed="false">
      <c r="B26" s="24"/>
      <c r="C26" s="24"/>
      <c r="D26" s="24"/>
      <c r="E26" s="24"/>
      <c r="F26" s="24"/>
    </row>
    <row r="27" customFormat="false" ht="15" hidden="false" customHeight="false" outlineLevel="0" collapsed="false">
      <c r="B27" s="24"/>
      <c r="C27" s="24"/>
      <c r="D27" s="24"/>
      <c r="E27" s="24"/>
      <c r="F27" s="24"/>
    </row>
  </sheetData>
  <mergeCells count="5">
    <mergeCell ref="A3:E3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112</v>
      </c>
    </row>
    <row r="2" customFormat="false" ht="15" hidden="false" customHeight="false" outlineLevel="0" collapsed="false">
      <c r="A2" s="16" t="s">
        <v>484</v>
      </c>
    </row>
    <row r="3" customFormat="false" ht="30" hidden="false" customHeight="true" outlineLevel="0" collapsed="false">
      <c r="A3" s="17" t="s">
        <v>114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485</v>
      </c>
      <c r="B7" s="7" t="s">
        <v>486</v>
      </c>
      <c r="C7" s="7" t="s">
        <v>487</v>
      </c>
      <c r="D7" s="7" t="s">
        <v>488</v>
      </c>
      <c r="E7" s="7" t="s">
        <v>489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490</v>
      </c>
      <c r="B8" s="7" t="s">
        <v>491</v>
      </c>
      <c r="C8" s="7" t="s">
        <v>492</v>
      </c>
      <c r="D8" s="7" t="s">
        <v>493</v>
      </c>
      <c r="E8" s="7" t="s">
        <v>489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customFormat="false" ht="15" hidden="false" customHeight="false" outlineLevel="0" collapsed="false">
      <c r="A10" s="18" t="s">
        <v>273</v>
      </c>
      <c r="B10" s="19"/>
      <c r="C10" s="19"/>
      <c r="D10" s="19"/>
      <c r="E10" s="19"/>
      <c r="F10" s="19"/>
      <c r="G10" s="19"/>
      <c r="H10" s="19"/>
    </row>
    <row r="11" customFormat="false" ht="30" hidden="false" customHeight="true" outlineLevel="0" collapsed="false">
      <c r="A11" s="6" t="s">
        <v>274</v>
      </c>
      <c r="B11" s="6" t="s">
        <v>275</v>
      </c>
      <c r="C11" s="6" t="s">
        <v>276</v>
      </c>
      <c r="D11" s="6" t="s">
        <v>246</v>
      </c>
      <c r="E11" s="6" t="s">
        <v>247</v>
      </c>
      <c r="F11" s="6" t="s">
        <v>277</v>
      </c>
      <c r="G11" s="6" t="s">
        <v>278</v>
      </c>
      <c r="H11" s="6" t="s">
        <v>279</v>
      </c>
      <c r="I11" s="6" t="s">
        <v>253</v>
      </c>
    </row>
    <row r="12" customFormat="false" ht="15" hidden="false" customHeight="false" outlineLevel="0" collapsed="false">
      <c r="A12" s="7" t="n">
        <v>1</v>
      </c>
      <c r="B12" s="7" t="s">
        <v>494</v>
      </c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7" t="n">
        <v>2</v>
      </c>
      <c r="B13" s="7" t="s">
        <v>495</v>
      </c>
      <c r="C13" s="11"/>
      <c r="D13" s="11"/>
      <c r="E13" s="11"/>
      <c r="F13" s="11"/>
      <c r="G13" s="11"/>
      <c r="H13" s="11"/>
      <c r="I13" s="11"/>
    </row>
    <row r="14" customFormat="false" ht="15" hidden="false" customHeight="false" outlineLevel="0" collapsed="false">
      <c r="A14" s="7" t="n">
        <v>3</v>
      </c>
      <c r="B14" s="7" t="s">
        <v>496</v>
      </c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4</v>
      </c>
      <c r="B15" s="7" t="s">
        <v>497</v>
      </c>
      <c r="C15" s="11"/>
      <c r="D15" s="11"/>
      <c r="E15" s="11"/>
      <c r="F15" s="11"/>
      <c r="G15" s="11"/>
      <c r="H15" s="11"/>
      <c r="I15" s="11"/>
    </row>
    <row r="17" customFormat="false" ht="45.75" hidden="false" customHeight="true" outlineLevel="0" collapsed="false">
      <c r="A17" s="20" t="s">
        <v>284</v>
      </c>
      <c r="B17" s="21" t="s">
        <v>498</v>
      </c>
      <c r="C17" s="21"/>
      <c r="D17" s="21"/>
      <c r="E17" s="21"/>
      <c r="F17" s="21"/>
    </row>
    <row r="18" customFormat="false" ht="45.75" hidden="false" customHeight="true" outlineLevel="0" collapsed="false">
      <c r="A18" s="20" t="s">
        <v>286</v>
      </c>
      <c r="B18" s="21" t="s">
        <v>115</v>
      </c>
      <c r="C18" s="21"/>
      <c r="D18" s="21"/>
      <c r="E18" s="21"/>
      <c r="F18" s="21"/>
    </row>
    <row r="19" customFormat="false" ht="45.75" hidden="false" customHeight="true" outlineLevel="0" collapsed="false">
      <c r="A19" s="20" t="s">
        <v>287</v>
      </c>
      <c r="B19" s="22" t="s">
        <v>116</v>
      </c>
      <c r="C19" s="22"/>
      <c r="D19" s="22"/>
      <c r="E19" s="22"/>
      <c r="F19" s="22"/>
    </row>
    <row r="20" customFormat="false" ht="45.75" hidden="false" customHeight="true" outlineLevel="0" collapsed="false">
      <c r="A20" s="20" t="s">
        <v>288</v>
      </c>
      <c r="B20" s="21" t="s">
        <v>499</v>
      </c>
      <c r="C20" s="21"/>
      <c r="D20" s="21"/>
      <c r="E20" s="21"/>
      <c r="F20" s="21"/>
    </row>
    <row r="22" customFormat="false" ht="15" hidden="false" customHeight="false" outlineLevel="0" collapsed="false">
      <c r="A22" s="23" t="s">
        <v>290</v>
      </c>
      <c r="B22" s="24"/>
      <c r="C22" s="24"/>
      <c r="D22" s="24"/>
      <c r="E22" s="24"/>
      <c r="F22" s="24"/>
    </row>
    <row r="23" customFormat="false" ht="15" hidden="false" customHeight="false" outlineLevel="0" collapsed="false">
      <c r="B23" s="24"/>
      <c r="C23" s="24"/>
      <c r="D23" s="24"/>
      <c r="E23" s="24"/>
      <c r="F23" s="24"/>
    </row>
    <row r="24" customFormat="false" ht="15" hidden="false" customHeight="false" outlineLevel="0" collapsed="false">
      <c r="B24" s="24"/>
      <c r="C24" s="24"/>
      <c r="D24" s="24"/>
      <c r="E24" s="24"/>
      <c r="F24" s="24"/>
    </row>
    <row r="25" customFormat="false" ht="15" hidden="false" customHeight="false" outlineLevel="0" collapsed="false">
      <c r="B25" s="24"/>
      <c r="C25" s="24"/>
      <c r="D25" s="24"/>
      <c r="E25" s="24"/>
      <c r="F25" s="24"/>
    </row>
  </sheetData>
  <mergeCells count="5">
    <mergeCell ref="A3:E3"/>
    <mergeCell ref="B17:F17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118</v>
      </c>
    </row>
    <row r="2" customFormat="false" ht="15" hidden="false" customHeight="false" outlineLevel="0" collapsed="false">
      <c r="A2" s="16" t="s">
        <v>500</v>
      </c>
    </row>
    <row r="3" customFormat="false" ht="30" hidden="false" customHeight="true" outlineLevel="0" collapsed="false">
      <c r="A3" s="17" t="s">
        <v>120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256</v>
      </c>
      <c r="B7" s="7" t="s">
        <v>501</v>
      </c>
      <c r="C7" s="7" t="s">
        <v>502</v>
      </c>
      <c r="D7" s="7" t="s">
        <v>503</v>
      </c>
      <c r="E7" s="7" t="s">
        <v>504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261</v>
      </c>
      <c r="B8" s="7" t="s">
        <v>505</v>
      </c>
      <c r="C8" s="7" t="s">
        <v>506</v>
      </c>
      <c r="D8" s="7" t="s">
        <v>507</v>
      </c>
      <c r="E8" s="7" t="s">
        <v>508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customFormat="false" ht="15" hidden="false" customHeight="false" outlineLevel="0" collapsed="false">
      <c r="A10" s="18" t="s">
        <v>273</v>
      </c>
      <c r="B10" s="19"/>
      <c r="C10" s="19"/>
      <c r="D10" s="19"/>
      <c r="E10" s="19"/>
      <c r="F10" s="19"/>
      <c r="G10" s="19"/>
      <c r="H10" s="19"/>
    </row>
    <row r="11" customFormat="false" ht="30" hidden="false" customHeight="true" outlineLevel="0" collapsed="false">
      <c r="A11" s="6" t="s">
        <v>274</v>
      </c>
      <c r="B11" s="6" t="s">
        <v>275</v>
      </c>
      <c r="C11" s="6" t="s">
        <v>276</v>
      </c>
      <c r="D11" s="6" t="s">
        <v>246</v>
      </c>
      <c r="E11" s="6" t="s">
        <v>247</v>
      </c>
      <c r="F11" s="6" t="s">
        <v>277</v>
      </c>
      <c r="G11" s="6" t="s">
        <v>278</v>
      </c>
      <c r="H11" s="6" t="s">
        <v>279</v>
      </c>
      <c r="I11" s="6" t="s">
        <v>253</v>
      </c>
    </row>
    <row r="12" customFormat="false" ht="15" hidden="false" customHeight="false" outlineLevel="0" collapsed="false">
      <c r="A12" s="7" t="n">
        <v>1</v>
      </c>
      <c r="B12" s="7" t="s">
        <v>509</v>
      </c>
      <c r="C12" s="11"/>
      <c r="D12" s="11"/>
      <c r="E12" s="11"/>
      <c r="F12" s="11"/>
      <c r="G12" s="11"/>
      <c r="H12" s="11"/>
      <c r="I12" s="11"/>
    </row>
    <row r="13" customFormat="false" ht="23.85" hidden="false" customHeight="false" outlineLevel="0" collapsed="false">
      <c r="A13" s="7" t="n">
        <v>2</v>
      </c>
      <c r="B13" s="7" t="s">
        <v>510</v>
      </c>
      <c r="C13" s="11"/>
      <c r="D13" s="11"/>
      <c r="E13" s="11"/>
      <c r="F13" s="11"/>
      <c r="G13" s="11"/>
      <c r="H13" s="11"/>
      <c r="I13" s="11"/>
    </row>
    <row r="15" customFormat="false" ht="45.75" hidden="false" customHeight="true" outlineLevel="0" collapsed="false">
      <c r="A15" s="20" t="s">
        <v>284</v>
      </c>
      <c r="B15" s="21" t="s">
        <v>511</v>
      </c>
      <c r="C15" s="21"/>
      <c r="D15" s="21"/>
      <c r="E15" s="21"/>
      <c r="F15" s="21"/>
    </row>
    <row r="16" customFormat="false" ht="45.75" hidden="false" customHeight="true" outlineLevel="0" collapsed="false">
      <c r="A16" s="20" t="s">
        <v>286</v>
      </c>
      <c r="B16" s="21" t="s">
        <v>121</v>
      </c>
      <c r="C16" s="21"/>
      <c r="D16" s="21"/>
      <c r="E16" s="21"/>
      <c r="F16" s="21"/>
    </row>
    <row r="17" customFormat="false" ht="45.75" hidden="false" customHeight="true" outlineLevel="0" collapsed="false">
      <c r="A17" s="20" t="s">
        <v>287</v>
      </c>
      <c r="B17" s="22" t="s">
        <v>122</v>
      </c>
      <c r="C17" s="22"/>
      <c r="D17" s="22"/>
      <c r="E17" s="22"/>
      <c r="F17" s="22"/>
    </row>
    <row r="18" customFormat="false" ht="45.75" hidden="false" customHeight="true" outlineLevel="0" collapsed="false">
      <c r="A18" s="20" t="s">
        <v>288</v>
      </c>
      <c r="B18" s="21" t="s">
        <v>512</v>
      </c>
      <c r="C18" s="21"/>
      <c r="D18" s="21"/>
      <c r="E18" s="21"/>
      <c r="F18" s="21"/>
    </row>
    <row r="20" customFormat="false" ht="15" hidden="false" customHeight="false" outlineLevel="0" collapsed="false">
      <c r="A20" s="23" t="s">
        <v>290</v>
      </c>
      <c r="B20" s="24"/>
      <c r="C20" s="24"/>
      <c r="D20" s="24"/>
      <c r="E20" s="24"/>
      <c r="F20" s="24"/>
    </row>
    <row r="21" customFormat="false" ht="15" hidden="false" customHeight="false" outlineLevel="0" collapsed="false">
      <c r="B21" s="24"/>
      <c r="C21" s="24"/>
      <c r="D21" s="24"/>
      <c r="E21" s="24"/>
      <c r="F21" s="24"/>
    </row>
    <row r="22" customFormat="false" ht="15" hidden="false" customHeight="false" outlineLevel="0" collapsed="false">
      <c r="B22" s="24"/>
      <c r="C22" s="24"/>
      <c r="D22" s="24"/>
      <c r="E22" s="24"/>
      <c r="F22" s="24"/>
    </row>
    <row r="23" customFormat="false" ht="15" hidden="false" customHeight="false" outlineLevel="0" collapsed="false">
      <c r="B23" s="24"/>
      <c r="C23" s="24"/>
      <c r="D23" s="24"/>
      <c r="E23" s="24"/>
      <c r="F23" s="24"/>
    </row>
  </sheetData>
  <mergeCells count="5">
    <mergeCell ref="A3:E3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124</v>
      </c>
    </row>
    <row r="2" customFormat="false" ht="15" hidden="false" customHeight="false" outlineLevel="0" collapsed="false">
      <c r="A2" s="16" t="s">
        <v>513</v>
      </c>
    </row>
    <row r="3" customFormat="false" ht="30" hidden="false" customHeight="true" outlineLevel="0" collapsed="false">
      <c r="A3" s="17" t="s">
        <v>126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256</v>
      </c>
      <c r="B7" s="7" t="s">
        <v>514</v>
      </c>
      <c r="C7" s="7" t="s">
        <v>515</v>
      </c>
      <c r="D7" s="7" t="s">
        <v>516</v>
      </c>
      <c r="E7" s="7" t="s">
        <v>517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261</v>
      </c>
      <c r="B8" s="7" t="s">
        <v>518</v>
      </c>
      <c r="C8" s="7" t="s">
        <v>519</v>
      </c>
      <c r="D8" s="7" t="s">
        <v>414</v>
      </c>
      <c r="E8" s="7" t="s">
        <v>520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customFormat="false" ht="15" hidden="false" customHeight="false" outlineLevel="0" collapsed="false">
      <c r="A10" s="18" t="s">
        <v>273</v>
      </c>
      <c r="B10" s="19"/>
      <c r="C10" s="19"/>
      <c r="D10" s="19"/>
      <c r="E10" s="19"/>
      <c r="F10" s="19"/>
      <c r="G10" s="19"/>
      <c r="H10" s="19"/>
    </row>
    <row r="11" customFormat="false" ht="30" hidden="false" customHeight="true" outlineLevel="0" collapsed="false">
      <c r="A11" s="6" t="s">
        <v>274</v>
      </c>
      <c r="B11" s="6" t="s">
        <v>275</v>
      </c>
      <c r="C11" s="6" t="s">
        <v>276</v>
      </c>
      <c r="D11" s="6" t="s">
        <v>246</v>
      </c>
      <c r="E11" s="6" t="s">
        <v>247</v>
      </c>
      <c r="F11" s="6" t="s">
        <v>277</v>
      </c>
      <c r="G11" s="6" t="s">
        <v>278</v>
      </c>
      <c r="H11" s="6" t="s">
        <v>279</v>
      </c>
      <c r="I11" s="6" t="s">
        <v>253</v>
      </c>
    </row>
    <row r="12" customFormat="false" ht="15" hidden="false" customHeight="false" outlineLevel="0" collapsed="false">
      <c r="A12" s="7" t="n">
        <v>1</v>
      </c>
      <c r="B12" s="7" t="s">
        <v>515</v>
      </c>
      <c r="C12" s="11"/>
      <c r="D12" s="11"/>
      <c r="E12" s="11"/>
      <c r="F12" s="11"/>
      <c r="G12" s="11"/>
      <c r="H12" s="11"/>
      <c r="I12" s="11"/>
    </row>
    <row r="13" customFormat="false" ht="23.85" hidden="false" customHeight="false" outlineLevel="0" collapsed="false">
      <c r="A13" s="7" t="n">
        <v>2</v>
      </c>
      <c r="B13" s="7" t="s">
        <v>521</v>
      </c>
      <c r="C13" s="11"/>
      <c r="D13" s="11"/>
      <c r="E13" s="11"/>
      <c r="F13" s="11"/>
      <c r="G13" s="11"/>
      <c r="H13" s="11"/>
      <c r="I13" s="11"/>
    </row>
    <row r="15" customFormat="false" ht="45.75" hidden="false" customHeight="true" outlineLevel="0" collapsed="false">
      <c r="A15" s="20" t="s">
        <v>284</v>
      </c>
      <c r="B15" s="21" t="s">
        <v>522</v>
      </c>
      <c r="C15" s="21"/>
      <c r="D15" s="21"/>
      <c r="E15" s="21"/>
      <c r="F15" s="21"/>
    </row>
    <row r="16" customFormat="false" ht="45.75" hidden="false" customHeight="true" outlineLevel="0" collapsed="false">
      <c r="A16" s="20" t="s">
        <v>286</v>
      </c>
      <c r="B16" s="21" t="s">
        <v>127</v>
      </c>
      <c r="C16" s="21"/>
      <c r="D16" s="21"/>
      <c r="E16" s="21"/>
      <c r="F16" s="21"/>
    </row>
    <row r="17" customFormat="false" ht="45.75" hidden="false" customHeight="true" outlineLevel="0" collapsed="false">
      <c r="A17" s="20" t="s">
        <v>287</v>
      </c>
      <c r="B17" s="22" t="s">
        <v>128</v>
      </c>
      <c r="C17" s="22"/>
      <c r="D17" s="22"/>
      <c r="E17" s="22"/>
      <c r="F17" s="22"/>
    </row>
    <row r="18" customFormat="false" ht="45.75" hidden="false" customHeight="true" outlineLevel="0" collapsed="false">
      <c r="A18" s="20" t="s">
        <v>288</v>
      </c>
      <c r="B18" s="21" t="s">
        <v>523</v>
      </c>
      <c r="C18" s="21"/>
      <c r="D18" s="21"/>
      <c r="E18" s="21"/>
      <c r="F18" s="21"/>
    </row>
    <row r="20" customFormat="false" ht="15" hidden="false" customHeight="false" outlineLevel="0" collapsed="false">
      <c r="A20" s="23" t="s">
        <v>290</v>
      </c>
      <c r="B20" s="24"/>
      <c r="C20" s="24"/>
      <c r="D20" s="24"/>
      <c r="E20" s="24"/>
      <c r="F20" s="24"/>
    </row>
    <row r="21" customFormat="false" ht="15" hidden="false" customHeight="false" outlineLevel="0" collapsed="false">
      <c r="B21" s="24"/>
      <c r="C21" s="24"/>
      <c r="D21" s="24"/>
      <c r="E21" s="24"/>
      <c r="F21" s="24"/>
    </row>
    <row r="22" customFormat="false" ht="15" hidden="false" customHeight="false" outlineLevel="0" collapsed="false">
      <c r="B22" s="24"/>
      <c r="C22" s="24"/>
      <c r="D22" s="24"/>
      <c r="E22" s="24"/>
      <c r="F22" s="24"/>
    </row>
    <row r="23" customFormat="false" ht="15" hidden="false" customHeight="false" outlineLevel="0" collapsed="false">
      <c r="B23" s="24"/>
      <c r="C23" s="24"/>
      <c r="D23" s="24"/>
      <c r="E23" s="24"/>
      <c r="F23" s="24"/>
    </row>
  </sheetData>
  <mergeCells count="5">
    <mergeCell ref="A3:E3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4" t="s">
        <v>130</v>
      </c>
    </row>
    <row r="2" customFormat="false" ht="15" hidden="false" customHeight="false" outlineLevel="0" collapsed="false">
      <c r="A2" s="16" t="s">
        <v>524</v>
      </c>
    </row>
    <row r="3" customFormat="false" ht="30" hidden="false" customHeight="true" outlineLevel="0" collapsed="false">
      <c r="A3" s="17" t="s">
        <v>132</v>
      </c>
      <c r="B3" s="17"/>
      <c r="C3" s="17"/>
      <c r="D3" s="17"/>
      <c r="E3" s="17"/>
    </row>
    <row r="5" customFormat="false" ht="15" hidden="false" customHeight="false" outlineLevel="0" collapsed="false">
      <c r="A5" s="18" t="s">
        <v>240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customFormat="false" ht="30" hidden="false" customHeight="true" outlineLevel="0" collapsed="false">
      <c r="A6" s="6" t="s">
        <v>241</v>
      </c>
      <c r="B6" s="6" t="s">
        <v>141</v>
      </c>
      <c r="C6" s="6" t="s">
        <v>242</v>
      </c>
      <c r="D6" s="6" t="s">
        <v>243</v>
      </c>
      <c r="E6" s="6" t="s">
        <v>244</v>
      </c>
      <c r="F6" s="6" t="s">
        <v>245</v>
      </c>
      <c r="G6" s="6" t="s">
        <v>246</v>
      </c>
      <c r="H6" s="6" t="s">
        <v>247</v>
      </c>
      <c r="I6" s="6" t="s">
        <v>248</v>
      </c>
      <c r="J6" s="6" t="s">
        <v>249</v>
      </c>
      <c r="K6" s="6" t="s">
        <v>250</v>
      </c>
      <c r="L6" s="6" t="s">
        <v>251</v>
      </c>
      <c r="M6" s="6" t="s">
        <v>252</v>
      </c>
      <c r="N6" s="6" t="s">
        <v>253</v>
      </c>
      <c r="O6" s="6" t="s">
        <v>254</v>
      </c>
      <c r="P6" s="6" t="s">
        <v>255</v>
      </c>
    </row>
    <row r="7" customFormat="false" ht="57.75" hidden="false" customHeight="true" outlineLevel="0" collapsed="false">
      <c r="A7" s="7" t="s">
        <v>525</v>
      </c>
      <c r="B7" s="7" t="s">
        <v>526</v>
      </c>
      <c r="C7" s="7" t="s">
        <v>527</v>
      </c>
      <c r="D7" s="7" t="s">
        <v>528</v>
      </c>
      <c r="E7" s="7" t="s">
        <v>308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57.75" hidden="false" customHeight="true" outlineLevel="0" collapsed="false">
      <c r="A8" s="7" t="s">
        <v>529</v>
      </c>
      <c r="B8" s="7" t="s">
        <v>530</v>
      </c>
      <c r="C8" s="7" t="s">
        <v>531</v>
      </c>
      <c r="D8" s="7" t="s">
        <v>532</v>
      </c>
      <c r="E8" s="7" t="s">
        <v>533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customFormat="false" ht="15" hidden="false" customHeight="false" outlineLevel="0" collapsed="false">
      <c r="A10" s="18" t="s">
        <v>273</v>
      </c>
      <c r="B10" s="19"/>
      <c r="C10" s="19"/>
      <c r="D10" s="19"/>
      <c r="E10" s="19"/>
      <c r="F10" s="19"/>
      <c r="G10" s="19"/>
      <c r="H10" s="19"/>
    </row>
    <row r="11" customFormat="false" ht="30" hidden="false" customHeight="true" outlineLevel="0" collapsed="false">
      <c r="A11" s="6" t="s">
        <v>274</v>
      </c>
      <c r="B11" s="6" t="s">
        <v>275</v>
      </c>
      <c r="C11" s="6" t="s">
        <v>276</v>
      </c>
      <c r="D11" s="6" t="s">
        <v>246</v>
      </c>
      <c r="E11" s="6" t="s">
        <v>247</v>
      </c>
      <c r="F11" s="6" t="s">
        <v>277</v>
      </c>
      <c r="G11" s="6" t="s">
        <v>278</v>
      </c>
      <c r="H11" s="6" t="s">
        <v>279</v>
      </c>
      <c r="I11" s="6" t="s">
        <v>253</v>
      </c>
    </row>
    <row r="12" customFormat="false" ht="15" hidden="false" customHeight="false" outlineLevel="0" collapsed="false">
      <c r="A12" s="7" t="n">
        <v>1</v>
      </c>
      <c r="B12" s="7" t="s">
        <v>534</v>
      </c>
      <c r="C12" s="11"/>
      <c r="D12" s="11"/>
      <c r="E12" s="11"/>
      <c r="F12" s="11"/>
      <c r="G12" s="11"/>
      <c r="H12" s="11"/>
      <c r="I12" s="11"/>
    </row>
    <row r="13" customFormat="false" ht="23.85" hidden="false" customHeight="false" outlineLevel="0" collapsed="false">
      <c r="A13" s="7" t="n">
        <v>2</v>
      </c>
      <c r="B13" s="7" t="s">
        <v>535</v>
      </c>
      <c r="C13" s="11"/>
      <c r="D13" s="11"/>
      <c r="E13" s="11"/>
      <c r="F13" s="11"/>
      <c r="G13" s="11"/>
      <c r="H13" s="11"/>
      <c r="I13" s="11"/>
    </row>
    <row r="15" customFormat="false" ht="45.75" hidden="false" customHeight="true" outlineLevel="0" collapsed="false">
      <c r="A15" s="20" t="s">
        <v>284</v>
      </c>
      <c r="B15" s="21" t="s">
        <v>536</v>
      </c>
      <c r="C15" s="21"/>
      <c r="D15" s="21"/>
      <c r="E15" s="21"/>
      <c r="F15" s="21"/>
    </row>
    <row r="16" customFormat="false" ht="45.75" hidden="false" customHeight="true" outlineLevel="0" collapsed="false">
      <c r="A16" s="20" t="s">
        <v>286</v>
      </c>
      <c r="B16" s="21" t="s">
        <v>133</v>
      </c>
      <c r="C16" s="21"/>
      <c r="D16" s="21"/>
      <c r="E16" s="21"/>
      <c r="F16" s="21"/>
    </row>
    <row r="17" customFormat="false" ht="45.75" hidden="false" customHeight="true" outlineLevel="0" collapsed="false">
      <c r="A17" s="20" t="s">
        <v>287</v>
      </c>
      <c r="B17" s="22" t="s">
        <v>134</v>
      </c>
      <c r="C17" s="22"/>
      <c r="D17" s="22"/>
      <c r="E17" s="22"/>
      <c r="F17" s="22"/>
    </row>
    <row r="18" customFormat="false" ht="45.75" hidden="false" customHeight="true" outlineLevel="0" collapsed="false">
      <c r="A18" s="20" t="s">
        <v>288</v>
      </c>
      <c r="B18" s="21" t="s">
        <v>537</v>
      </c>
      <c r="C18" s="21"/>
      <c r="D18" s="21"/>
      <c r="E18" s="21"/>
      <c r="F18" s="21"/>
    </row>
    <row r="20" customFormat="false" ht="15" hidden="false" customHeight="false" outlineLevel="0" collapsed="false">
      <c r="A20" s="23" t="s">
        <v>290</v>
      </c>
      <c r="B20" s="24"/>
      <c r="C20" s="24"/>
      <c r="D20" s="24"/>
      <c r="E20" s="24"/>
      <c r="F20" s="24"/>
    </row>
    <row r="21" customFormat="false" ht="15" hidden="false" customHeight="false" outlineLevel="0" collapsed="false">
      <c r="B21" s="24"/>
      <c r="C21" s="24"/>
      <c r="D21" s="24"/>
      <c r="E21" s="24"/>
      <c r="F21" s="24"/>
    </row>
    <row r="22" customFormat="false" ht="15" hidden="false" customHeight="false" outlineLevel="0" collapsed="false">
      <c r="B22" s="24"/>
      <c r="C22" s="24"/>
      <c r="D22" s="24"/>
      <c r="E22" s="24"/>
      <c r="F22" s="24"/>
    </row>
    <row r="23" customFormat="false" ht="15" hidden="false" customHeight="false" outlineLevel="0" collapsed="false">
      <c r="B23" s="24"/>
      <c r="C23" s="24"/>
      <c r="D23" s="24"/>
      <c r="E23" s="24"/>
      <c r="F23" s="24"/>
    </row>
  </sheetData>
  <mergeCells count="5">
    <mergeCell ref="A3:E3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4" t="s">
        <v>538</v>
      </c>
    </row>
    <row r="2" customFormat="false" ht="15" hidden="false" customHeight="false" outlineLevel="0" collapsed="false">
      <c r="A2" s="5" t="s">
        <v>539</v>
      </c>
    </row>
    <row r="4" customFormat="false" ht="30" hidden="false" customHeight="true" outlineLevel="0" collapsed="false">
      <c r="A4" s="6" t="s">
        <v>540</v>
      </c>
      <c r="B4" s="6" t="s">
        <v>541</v>
      </c>
      <c r="C4" s="6" t="s">
        <v>275</v>
      </c>
      <c r="D4" s="6" t="s">
        <v>276</v>
      </c>
      <c r="E4" s="6" t="s">
        <v>246</v>
      </c>
      <c r="F4" s="6" t="s">
        <v>247</v>
      </c>
      <c r="G4" s="6" t="s">
        <v>277</v>
      </c>
      <c r="H4" s="6" t="s">
        <v>278</v>
      </c>
      <c r="I4" s="6" t="s">
        <v>279</v>
      </c>
      <c r="J4" s="6" t="s">
        <v>253</v>
      </c>
      <c r="K4" s="6" t="s">
        <v>542</v>
      </c>
      <c r="L4" s="6" t="s">
        <v>255</v>
      </c>
    </row>
    <row r="5" customFormat="false" ht="23.85" hidden="false" customHeight="false" outlineLevel="0" collapsed="false">
      <c r="A5" s="7" t="s">
        <v>45</v>
      </c>
      <c r="B5" s="7" t="s">
        <v>46</v>
      </c>
      <c r="C5" s="7" t="s">
        <v>280</v>
      </c>
      <c r="D5" s="11"/>
      <c r="E5" s="11"/>
      <c r="F5" s="11"/>
      <c r="G5" s="11"/>
      <c r="H5" s="11"/>
      <c r="I5" s="11"/>
      <c r="J5" s="11"/>
      <c r="K5" s="11"/>
      <c r="L5" s="11"/>
    </row>
    <row r="6" customFormat="false" ht="23.85" hidden="false" customHeight="false" outlineLevel="0" collapsed="false">
      <c r="A6" s="7" t="s">
        <v>45</v>
      </c>
      <c r="B6" s="7" t="s">
        <v>46</v>
      </c>
      <c r="C6" s="7" t="s">
        <v>281</v>
      </c>
      <c r="D6" s="11"/>
      <c r="E6" s="11"/>
      <c r="F6" s="11"/>
      <c r="G6" s="11"/>
      <c r="H6" s="11"/>
      <c r="I6" s="11"/>
      <c r="J6" s="11"/>
      <c r="K6" s="11"/>
      <c r="L6" s="11"/>
    </row>
    <row r="7" customFormat="false" ht="23.85" hidden="false" customHeight="false" outlineLevel="0" collapsed="false">
      <c r="A7" s="7" t="s">
        <v>45</v>
      </c>
      <c r="B7" s="7" t="s">
        <v>46</v>
      </c>
      <c r="C7" s="7" t="s">
        <v>282</v>
      </c>
      <c r="D7" s="11"/>
      <c r="E7" s="11"/>
      <c r="F7" s="11"/>
      <c r="G7" s="11"/>
      <c r="H7" s="11"/>
      <c r="I7" s="11"/>
      <c r="J7" s="11"/>
      <c r="K7" s="11"/>
      <c r="L7" s="11"/>
    </row>
    <row r="8" customFormat="false" ht="23.85" hidden="false" customHeight="false" outlineLevel="0" collapsed="false">
      <c r="A8" s="7" t="s">
        <v>45</v>
      </c>
      <c r="B8" s="7" t="s">
        <v>46</v>
      </c>
      <c r="C8" s="7" t="s">
        <v>283</v>
      </c>
      <c r="D8" s="11"/>
      <c r="E8" s="11"/>
      <c r="F8" s="11"/>
      <c r="G8" s="11"/>
      <c r="H8" s="11"/>
      <c r="I8" s="11"/>
      <c r="J8" s="11"/>
      <c r="K8" s="11"/>
      <c r="L8" s="11"/>
    </row>
    <row r="9" customFormat="false" ht="23.85" hidden="false" customHeight="false" outlineLevel="0" collapsed="false">
      <c r="A9" s="7" t="s">
        <v>51</v>
      </c>
      <c r="B9" s="7" t="s">
        <v>52</v>
      </c>
      <c r="C9" s="7" t="s">
        <v>300</v>
      </c>
      <c r="D9" s="11"/>
      <c r="E9" s="11"/>
      <c r="F9" s="11"/>
      <c r="G9" s="11"/>
      <c r="H9" s="11"/>
      <c r="I9" s="11"/>
      <c r="J9" s="11"/>
      <c r="K9" s="11"/>
      <c r="L9" s="11"/>
    </row>
    <row r="10" customFormat="false" ht="15" hidden="false" customHeight="false" outlineLevel="0" collapsed="false">
      <c r="A10" s="7" t="s">
        <v>57</v>
      </c>
      <c r="B10" s="7" t="s">
        <v>58</v>
      </c>
      <c r="C10" s="7" t="s">
        <v>321</v>
      </c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5" hidden="false" customHeight="false" outlineLevel="0" collapsed="false">
      <c r="A11" s="7" t="s">
        <v>57</v>
      </c>
      <c r="B11" s="7" t="s">
        <v>58</v>
      </c>
      <c r="C11" s="7" t="s">
        <v>322</v>
      </c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15" hidden="false" customHeight="false" outlineLevel="0" collapsed="false">
      <c r="A12" s="7" t="s">
        <v>57</v>
      </c>
      <c r="B12" s="7" t="s">
        <v>58</v>
      </c>
      <c r="C12" s="7" t="s">
        <v>323</v>
      </c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false" outlineLevel="0" collapsed="false">
      <c r="A13" s="7" t="s">
        <v>57</v>
      </c>
      <c r="B13" s="7" t="s">
        <v>58</v>
      </c>
      <c r="C13" s="7" t="s">
        <v>324</v>
      </c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false" outlineLevel="0" collapsed="false">
      <c r="A14" s="7" t="s">
        <v>57</v>
      </c>
      <c r="B14" s="7" t="s">
        <v>58</v>
      </c>
      <c r="C14" s="7" t="s">
        <v>325</v>
      </c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15" hidden="false" customHeight="false" outlineLevel="0" collapsed="false">
      <c r="A15" s="7" t="s">
        <v>57</v>
      </c>
      <c r="B15" s="7" t="s">
        <v>58</v>
      </c>
      <c r="C15" s="7" t="s">
        <v>326</v>
      </c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15" hidden="false" customHeight="false" outlineLevel="0" collapsed="false">
      <c r="A16" s="7" t="s">
        <v>63</v>
      </c>
      <c r="B16" s="7" t="s">
        <v>64</v>
      </c>
      <c r="C16" s="7" t="s">
        <v>331</v>
      </c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15" hidden="false" customHeight="false" outlineLevel="0" collapsed="false">
      <c r="A17" s="7" t="s">
        <v>69</v>
      </c>
      <c r="B17" s="7" t="s">
        <v>70</v>
      </c>
      <c r="C17" s="7" t="s">
        <v>347</v>
      </c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15" hidden="false" customHeight="false" outlineLevel="0" collapsed="false">
      <c r="A18" s="7" t="s">
        <v>69</v>
      </c>
      <c r="B18" s="7" t="s">
        <v>70</v>
      </c>
      <c r="C18" s="7" t="s">
        <v>348</v>
      </c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15" hidden="false" customHeight="false" outlineLevel="0" collapsed="false">
      <c r="A19" s="7" t="s">
        <v>69</v>
      </c>
      <c r="B19" s="7" t="s">
        <v>70</v>
      </c>
      <c r="C19" s="7" t="s">
        <v>349</v>
      </c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15" hidden="false" customHeight="false" outlineLevel="0" collapsed="false">
      <c r="A20" s="7" t="s">
        <v>75</v>
      </c>
      <c r="B20" s="7" t="s">
        <v>76</v>
      </c>
      <c r="C20" s="7" t="s">
        <v>367</v>
      </c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false" outlineLevel="0" collapsed="false">
      <c r="A21" s="7" t="s">
        <v>75</v>
      </c>
      <c r="B21" s="7" t="s">
        <v>76</v>
      </c>
      <c r="C21" s="7" t="s">
        <v>368</v>
      </c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15" hidden="false" customHeight="false" outlineLevel="0" collapsed="false">
      <c r="A22" s="7" t="s">
        <v>75</v>
      </c>
      <c r="B22" s="7" t="s">
        <v>76</v>
      </c>
      <c r="C22" s="7" t="s">
        <v>369</v>
      </c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15" hidden="false" customHeight="false" outlineLevel="0" collapsed="false">
      <c r="A23" s="7" t="s">
        <v>75</v>
      </c>
      <c r="B23" s="7" t="s">
        <v>76</v>
      </c>
      <c r="C23" s="7" t="s">
        <v>370</v>
      </c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15" hidden="false" customHeight="false" outlineLevel="0" collapsed="false">
      <c r="A24" s="7" t="s">
        <v>75</v>
      </c>
      <c r="B24" s="7" t="s">
        <v>76</v>
      </c>
      <c r="C24" s="7" t="s">
        <v>371</v>
      </c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15" hidden="false" customHeight="false" outlineLevel="0" collapsed="false">
      <c r="A25" s="7" t="s">
        <v>75</v>
      </c>
      <c r="B25" s="7" t="s">
        <v>76</v>
      </c>
      <c r="C25" s="7" t="s">
        <v>372</v>
      </c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15" hidden="false" customHeight="false" outlineLevel="0" collapsed="false">
      <c r="A26" s="7" t="s">
        <v>75</v>
      </c>
      <c r="B26" s="7" t="s">
        <v>76</v>
      </c>
      <c r="C26" s="7" t="s">
        <v>373</v>
      </c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15" hidden="false" customHeight="false" outlineLevel="0" collapsed="false">
      <c r="A27" s="7" t="s">
        <v>81</v>
      </c>
      <c r="B27" s="7" t="s">
        <v>82</v>
      </c>
      <c r="C27" s="7" t="s">
        <v>393</v>
      </c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15" hidden="false" customHeight="false" outlineLevel="0" collapsed="false">
      <c r="A28" s="7" t="s">
        <v>81</v>
      </c>
      <c r="B28" s="7" t="s">
        <v>82</v>
      </c>
      <c r="C28" s="7" t="s">
        <v>388</v>
      </c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15" hidden="false" customHeight="false" outlineLevel="0" collapsed="false">
      <c r="A29" s="7" t="s">
        <v>81</v>
      </c>
      <c r="B29" s="7" t="s">
        <v>82</v>
      </c>
      <c r="C29" s="7" t="s">
        <v>383</v>
      </c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15" hidden="false" customHeight="false" outlineLevel="0" collapsed="false">
      <c r="A30" s="7" t="s">
        <v>81</v>
      </c>
      <c r="B30" s="7" t="s">
        <v>82</v>
      </c>
      <c r="C30" s="7" t="s">
        <v>394</v>
      </c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15" hidden="false" customHeight="false" outlineLevel="0" collapsed="false">
      <c r="A31" s="7" t="s">
        <v>87</v>
      </c>
      <c r="B31" s="7" t="s">
        <v>88</v>
      </c>
      <c r="C31" s="7" t="s">
        <v>405</v>
      </c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15" hidden="false" customHeight="false" outlineLevel="0" collapsed="false">
      <c r="A32" s="7" t="s">
        <v>87</v>
      </c>
      <c r="B32" s="7" t="s">
        <v>88</v>
      </c>
      <c r="C32" s="7" t="s">
        <v>406</v>
      </c>
      <c r="D32" s="11"/>
      <c r="E32" s="11"/>
      <c r="F32" s="11"/>
      <c r="G32" s="11"/>
      <c r="H32" s="11"/>
      <c r="I32" s="11"/>
      <c r="J32" s="11"/>
      <c r="K32" s="11"/>
      <c r="L32" s="11"/>
    </row>
    <row r="33" customFormat="false" ht="15" hidden="false" customHeight="false" outlineLevel="0" collapsed="false">
      <c r="A33" s="7" t="s">
        <v>87</v>
      </c>
      <c r="B33" s="7" t="s">
        <v>88</v>
      </c>
      <c r="C33" s="7" t="s">
        <v>407</v>
      </c>
      <c r="D33" s="11"/>
      <c r="E33" s="11"/>
      <c r="F33" s="11"/>
      <c r="G33" s="11"/>
      <c r="H33" s="11"/>
      <c r="I33" s="11"/>
      <c r="J33" s="11"/>
      <c r="K33" s="11"/>
      <c r="L33" s="11"/>
    </row>
    <row r="34" customFormat="false" ht="15" hidden="false" customHeight="false" outlineLevel="0" collapsed="false">
      <c r="A34" s="7" t="s">
        <v>93</v>
      </c>
      <c r="B34" s="7" t="s">
        <v>94</v>
      </c>
      <c r="C34" s="7" t="s">
        <v>432</v>
      </c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5" hidden="false" customHeight="false" outlineLevel="0" collapsed="false">
      <c r="A35" s="7" t="s">
        <v>93</v>
      </c>
      <c r="B35" s="7" t="s">
        <v>94</v>
      </c>
      <c r="C35" s="7" t="s">
        <v>433</v>
      </c>
      <c r="D35" s="11"/>
      <c r="E35" s="11"/>
      <c r="F35" s="11"/>
      <c r="G35" s="11"/>
      <c r="H35" s="11"/>
      <c r="I35" s="11"/>
      <c r="J35" s="11"/>
      <c r="K35" s="11"/>
      <c r="L35" s="11"/>
    </row>
    <row r="36" customFormat="false" ht="15" hidden="false" customHeight="false" outlineLevel="0" collapsed="false">
      <c r="A36" s="7" t="s">
        <v>93</v>
      </c>
      <c r="B36" s="7" t="s">
        <v>94</v>
      </c>
      <c r="C36" s="7" t="s">
        <v>434</v>
      </c>
      <c r="D36" s="11"/>
      <c r="E36" s="11"/>
      <c r="F36" s="11"/>
      <c r="G36" s="11"/>
      <c r="H36" s="11"/>
      <c r="I36" s="11"/>
      <c r="J36" s="11"/>
      <c r="K36" s="11"/>
      <c r="L36" s="11"/>
    </row>
    <row r="37" customFormat="false" ht="15" hidden="false" customHeight="false" outlineLevel="0" collapsed="false">
      <c r="A37" s="7" t="s">
        <v>93</v>
      </c>
      <c r="B37" s="7" t="s">
        <v>94</v>
      </c>
      <c r="C37" s="7" t="s">
        <v>435</v>
      </c>
      <c r="D37" s="11"/>
      <c r="E37" s="11"/>
      <c r="F37" s="11"/>
      <c r="G37" s="11"/>
      <c r="H37" s="11"/>
      <c r="I37" s="11"/>
      <c r="J37" s="11"/>
      <c r="K37" s="11"/>
      <c r="L37" s="11"/>
    </row>
    <row r="38" customFormat="false" ht="15" hidden="false" customHeight="false" outlineLevel="0" collapsed="false">
      <c r="A38" s="7" t="s">
        <v>93</v>
      </c>
      <c r="B38" s="7" t="s">
        <v>94</v>
      </c>
      <c r="C38" s="7" t="s">
        <v>436</v>
      </c>
      <c r="D38" s="11"/>
      <c r="E38" s="11"/>
      <c r="F38" s="11"/>
      <c r="G38" s="11"/>
      <c r="H38" s="11"/>
      <c r="I38" s="11"/>
      <c r="J38" s="11"/>
      <c r="K38" s="11"/>
      <c r="L38" s="11"/>
    </row>
    <row r="39" customFormat="false" ht="23.85" hidden="false" customHeight="false" outlineLevel="0" collapsed="false">
      <c r="A39" s="7" t="s">
        <v>99</v>
      </c>
      <c r="B39" s="7" t="s">
        <v>100</v>
      </c>
      <c r="C39" s="7" t="s">
        <v>451</v>
      </c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23.85" hidden="false" customHeight="false" outlineLevel="0" collapsed="false">
      <c r="A40" s="7" t="s">
        <v>99</v>
      </c>
      <c r="B40" s="7" t="s">
        <v>100</v>
      </c>
      <c r="C40" s="7" t="s">
        <v>452</v>
      </c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23.85" hidden="false" customHeight="false" outlineLevel="0" collapsed="false">
      <c r="A41" s="7" t="s">
        <v>99</v>
      </c>
      <c r="B41" s="7" t="s">
        <v>100</v>
      </c>
      <c r="C41" s="7" t="s">
        <v>453</v>
      </c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23.85" hidden="false" customHeight="false" outlineLevel="0" collapsed="false">
      <c r="A42" s="7" t="s">
        <v>99</v>
      </c>
      <c r="B42" s="7" t="s">
        <v>100</v>
      </c>
      <c r="C42" s="7" t="s">
        <v>454</v>
      </c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23.85" hidden="false" customHeight="false" outlineLevel="0" collapsed="false">
      <c r="A43" s="7" t="s">
        <v>99</v>
      </c>
      <c r="B43" s="7" t="s">
        <v>100</v>
      </c>
      <c r="C43" s="7" t="s">
        <v>455</v>
      </c>
      <c r="D43" s="11"/>
      <c r="E43" s="11"/>
      <c r="F43" s="11"/>
      <c r="G43" s="11"/>
      <c r="H43" s="11"/>
      <c r="I43" s="11"/>
      <c r="J43" s="11"/>
      <c r="K43" s="11"/>
      <c r="L43" s="11"/>
    </row>
    <row r="44" customFormat="false" ht="15" hidden="false" customHeight="false" outlineLevel="0" collapsed="false">
      <c r="A44" s="7" t="s">
        <v>105</v>
      </c>
      <c r="B44" s="7" t="s">
        <v>106</v>
      </c>
      <c r="C44" s="7" t="s">
        <v>478</v>
      </c>
      <c r="D44" s="11"/>
      <c r="E44" s="11"/>
      <c r="F44" s="11"/>
      <c r="G44" s="11"/>
      <c r="H44" s="11"/>
      <c r="I44" s="11"/>
      <c r="J44" s="11"/>
      <c r="K44" s="11"/>
      <c r="L44" s="11"/>
    </row>
    <row r="45" customFormat="false" ht="15" hidden="false" customHeight="false" outlineLevel="0" collapsed="false">
      <c r="A45" s="7" t="s">
        <v>105</v>
      </c>
      <c r="B45" s="7" t="s">
        <v>106</v>
      </c>
      <c r="C45" s="7" t="s">
        <v>479</v>
      </c>
      <c r="D45" s="11"/>
      <c r="E45" s="11"/>
      <c r="F45" s="11"/>
      <c r="G45" s="11"/>
      <c r="H45" s="11"/>
      <c r="I45" s="11"/>
      <c r="J45" s="11"/>
      <c r="K45" s="11"/>
      <c r="L45" s="11"/>
    </row>
    <row r="46" customFormat="false" ht="15" hidden="false" customHeight="false" outlineLevel="0" collapsed="false">
      <c r="A46" s="7" t="s">
        <v>105</v>
      </c>
      <c r="B46" s="7" t="s">
        <v>106</v>
      </c>
      <c r="C46" s="7" t="s">
        <v>480</v>
      </c>
      <c r="D46" s="11"/>
      <c r="E46" s="11"/>
      <c r="F46" s="11"/>
      <c r="G46" s="11"/>
      <c r="H46" s="11"/>
      <c r="I46" s="11"/>
      <c r="J46" s="11"/>
      <c r="K46" s="11"/>
      <c r="L46" s="11"/>
    </row>
    <row r="47" customFormat="false" ht="15" hidden="false" customHeight="false" outlineLevel="0" collapsed="false">
      <c r="A47" s="7" t="s">
        <v>105</v>
      </c>
      <c r="B47" s="7" t="s">
        <v>106</v>
      </c>
      <c r="C47" s="7" t="s">
        <v>481</v>
      </c>
      <c r="D47" s="11"/>
      <c r="E47" s="11"/>
      <c r="F47" s="11"/>
      <c r="G47" s="11"/>
      <c r="H47" s="11"/>
      <c r="I47" s="11"/>
      <c r="J47" s="11"/>
      <c r="K47" s="11"/>
      <c r="L47" s="11"/>
    </row>
    <row r="48" customFormat="false" ht="15" hidden="false" customHeight="false" outlineLevel="0" collapsed="false">
      <c r="A48" s="7" t="s">
        <v>111</v>
      </c>
      <c r="B48" s="7" t="s">
        <v>112</v>
      </c>
      <c r="C48" s="7" t="s">
        <v>494</v>
      </c>
      <c r="D48" s="11"/>
      <c r="E48" s="11"/>
      <c r="F48" s="11"/>
      <c r="G48" s="11"/>
      <c r="H48" s="11"/>
      <c r="I48" s="11"/>
      <c r="J48" s="11"/>
      <c r="K48" s="11"/>
      <c r="L48" s="11"/>
    </row>
    <row r="49" customFormat="false" ht="15" hidden="false" customHeight="false" outlineLevel="0" collapsed="false">
      <c r="A49" s="7" t="s">
        <v>111</v>
      </c>
      <c r="B49" s="7" t="s">
        <v>112</v>
      </c>
      <c r="C49" s="7" t="s">
        <v>495</v>
      </c>
      <c r="D49" s="11"/>
      <c r="E49" s="11"/>
      <c r="F49" s="11"/>
      <c r="G49" s="11"/>
      <c r="H49" s="11"/>
      <c r="I49" s="11"/>
      <c r="J49" s="11"/>
      <c r="K49" s="11"/>
      <c r="L49" s="11"/>
    </row>
    <row r="50" customFormat="false" ht="15" hidden="false" customHeight="false" outlineLevel="0" collapsed="false">
      <c r="A50" s="7" t="s">
        <v>111</v>
      </c>
      <c r="B50" s="7" t="s">
        <v>112</v>
      </c>
      <c r="C50" s="7" t="s">
        <v>496</v>
      </c>
      <c r="D50" s="11"/>
      <c r="E50" s="11"/>
      <c r="F50" s="11"/>
      <c r="G50" s="11"/>
      <c r="H50" s="11"/>
      <c r="I50" s="11"/>
      <c r="J50" s="11"/>
      <c r="K50" s="11"/>
      <c r="L50" s="11"/>
    </row>
    <row r="51" customFormat="false" ht="15" hidden="false" customHeight="false" outlineLevel="0" collapsed="false">
      <c r="A51" s="7" t="s">
        <v>111</v>
      </c>
      <c r="B51" s="7" t="s">
        <v>112</v>
      </c>
      <c r="C51" s="7" t="s">
        <v>497</v>
      </c>
      <c r="D51" s="11"/>
      <c r="E51" s="11"/>
      <c r="F51" s="11"/>
      <c r="G51" s="11"/>
      <c r="H51" s="11"/>
      <c r="I51" s="11"/>
      <c r="J51" s="11"/>
      <c r="K51" s="11"/>
      <c r="L51" s="11"/>
    </row>
    <row r="52" customFormat="false" ht="15" hidden="false" customHeight="false" outlineLevel="0" collapsed="false">
      <c r="A52" s="7" t="s">
        <v>117</v>
      </c>
      <c r="B52" s="7" t="s">
        <v>118</v>
      </c>
      <c r="C52" s="7" t="s">
        <v>509</v>
      </c>
      <c r="D52" s="11"/>
      <c r="E52" s="11"/>
      <c r="F52" s="11"/>
      <c r="G52" s="11"/>
      <c r="H52" s="11"/>
      <c r="I52" s="11"/>
      <c r="J52" s="11"/>
      <c r="K52" s="11"/>
      <c r="L52" s="11"/>
    </row>
    <row r="53" customFormat="false" ht="15" hidden="false" customHeight="false" outlineLevel="0" collapsed="false">
      <c r="A53" s="7" t="s">
        <v>117</v>
      </c>
      <c r="B53" s="7" t="s">
        <v>118</v>
      </c>
      <c r="C53" s="7" t="s">
        <v>510</v>
      </c>
      <c r="D53" s="11"/>
      <c r="E53" s="11"/>
      <c r="F53" s="11"/>
      <c r="G53" s="11"/>
      <c r="H53" s="11"/>
      <c r="I53" s="11"/>
      <c r="J53" s="11"/>
      <c r="K53" s="11"/>
      <c r="L53" s="11"/>
    </row>
    <row r="54" customFormat="false" ht="15" hidden="false" customHeight="false" outlineLevel="0" collapsed="false">
      <c r="A54" s="7" t="s">
        <v>123</v>
      </c>
      <c r="B54" s="7" t="s">
        <v>124</v>
      </c>
      <c r="C54" s="7" t="s">
        <v>515</v>
      </c>
      <c r="D54" s="11"/>
      <c r="E54" s="11"/>
      <c r="F54" s="11"/>
      <c r="G54" s="11"/>
      <c r="H54" s="11"/>
      <c r="I54" s="11"/>
      <c r="J54" s="11"/>
      <c r="K54" s="11"/>
      <c r="L54" s="11"/>
    </row>
    <row r="55" customFormat="false" ht="15" hidden="false" customHeight="false" outlineLevel="0" collapsed="false">
      <c r="A55" s="7" t="s">
        <v>123</v>
      </c>
      <c r="B55" s="7" t="s">
        <v>124</v>
      </c>
      <c r="C55" s="7" t="s">
        <v>521</v>
      </c>
      <c r="D55" s="11"/>
      <c r="E55" s="11"/>
      <c r="F55" s="11"/>
      <c r="G55" s="11"/>
      <c r="H55" s="11"/>
      <c r="I55" s="11"/>
      <c r="J55" s="11"/>
      <c r="K55" s="11"/>
      <c r="L55" s="11"/>
    </row>
    <row r="56" customFormat="false" ht="23.85" hidden="false" customHeight="false" outlineLevel="0" collapsed="false">
      <c r="A56" s="7" t="s">
        <v>129</v>
      </c>
      <c r="B56" s="7" t="s">
        <v>130</v>
      </c>
      <c r="C56" s="7" t="s">
        <v>534</v>
      </c>
      <c r="D56" s="11"/>
      <c r="E56" s="11"/>
      <c r="F56" s="11"/>
      <c r="G56" s="11"/>
      <c r="H56" s="11"/>
      <c r="I56" s="11"/>
      <c r="J56" s="11"/>
      <c r="K56" s="11"/>
      <c r="L56" s="11"/>
    </row>
    <row r="57" customFormat="false" ht="23.85" hidden="false" customHeight="false" outlineLevel="0" collapsed="false">
      <c r="A57" s="7" t="s">
        <v>129</v>
      </c>
      <c r="B57" s="7" t="s">
        <v>130</v>
      </c>
      <c r="C57" s="7" t="s">
        <v>535</v>
      </c>
      <c r="D57" s="11"/>
      <c r="E57" s="11"/>
      <c r="F57" s="11"/>
      <c r="G57" s="11"/>
      <c r="H57" s="11"/>
      <c r="I57" s="11"/>
      <c r="J57" s="11"/>
      <c r="K57" s="11"/>
      <c r="L57" s="11"/>
    </row>
  </sheetData>
  <autoFilter ref="A4:L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64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4" t="s">
        <v>543</v>
      </c>
    </row>
    <row r="4" customFormat="false" ht="30" hidden="false" customHeight="true" outlineLevel="0" collapsed="false">
      <c r="A4" s="6" t="s">
        <v>544</v>
      </c>
      <c r="B4" s="6" t="s">
        <v>241</v>
      </c>
      <c r="C4" s="6" t="s">
        <v>545</v>
      </c>
      <c r="D4" s="6" t="s">
        <v>546</v>
      </c>
      <c r="E4" s="6" t="s">
        <v>547</v>
      </c>
      <c r="F4" s="6" t="s">
        <v>548</v>
      </c>
    </row>
    <row r="5" customFormat="false" ht="39.75" hidden="false" customHeight="true" outlineLevel="0" collapsed="false">
      <c r="A5" s="9" t="n">
        <v>1</v>
      </c>
      <c r="B5" s="8" t="s">
        <v>549</v>
      </c>
      <c r="C5" s="7" t="s">
        <v>550</v>
      </c>
      <c r="D5" s="7" t="s">
        <v>551</v>
      </c>
      <c r="E5" s="11"/>
      <c r="F5" s="11"/>
    </row>
    <row r="6" customFormat="false" ht="39.75" hidden="false" customHeight="true" outlineLevel="0" collapsed="false">
      <c r="A6" s="9" t="n">
        <v>2</v>
      </c>
      <c r="B6" s="8" t="s">
        <v>552</v>
      </c>
      <c r="C6" s="7" t="s">
        <v>553</v>
      </c>
      <c r="D6" s="7" t="s">
        <v>554</v>
      </c>
      <c r="E6" s="11"/>
      <c r="F6" s="11"/>
    </row>
    <row r="7" customFormat="false" ht="39.75" hidden="false" customHeight="true" outlineLevel="0" collapsed="false">
      <c r="A7" s="9" t="n">
        <v>3</v>
      </c>
      <c r="B7" s="8" t="s">
        <v>555</v>
      </c>
      <c r="C7" s="7" t="s">
        <v>556</v>
      </c>
      <c r="D7" s="7" t="s">
        <v>557</v>
      </c>
      <c r="E7" s="11"/>
      <c r="F7" s="11"/>
    </row>
    <row r="8" customFormat="false" ht="39.75" hidden="false" customHeight="true" outlineLevel="0" collapsed="false">
      <c r="A8" s="9" t="n">
        <v>4</v>
      </c>
      <c r="B8" s="8" t="s">
        <v>558</v>
      </c>
      <c r="C8" s="7" t="s">
        <v>559</v>
      </c>
      <c r="D8" s="7" t="s">
        <v>308</v>
      </c>
      <c r="E8" s="11"/>
      <c r="F8" s="11"/>
    </row>
    <row r="9" customFormat="false" ht="39.75" hidden="false" customHeight="true" outlineLevel="0" collapsed="false">
      <c r="A9" s="9" t="n">
        <v>5</v>
      </c>
      <c r="B9" s="8" t="s">
        <v>560</v>
      </c>
      <c r="C9" s="7" t="s">
        <v>561</v>
      </c>
      <c r="D9" s="7" t="s">
        <v>346</v>
      </c>
      <c r="E9" s="11"/>
      <c r="F9" s="11"/>
    </row>
    <row r="10" customFormat="false" ht="39.75" hidden="false" customHeight="true" outlineLevel="0" collapsed="false">
      <c r="A10" s="9" t="n">
        <v>6</v>
      </c>
      <c r="B10" s="8" t="s">
        <v>562</v>
      </c>
      <c r="C10" s="7" t="s">
        <v>563</v>
      </c>
      <c r="D10" s="7" t="s">
        <v>317</v>
      </c>
      <c r="E10" s="11"/>
      <c r="F10" s="11"/>
    </row>
    <row r="11" customFormat="false" ht="39.75" hidden="false" customHeight="true" outlineLevel="0" collapsed="false">
      <c r="A11" s="9" t="n">
        <v>7</v>
      </c>
      <c r="B11" s="8" t="s">
        <v>564</v>
      </c>
      <c r="C11" s="7" t="s">
        <v>565</v>
      </c>
      <c r="D11" s="7" t="s">
        <v>317</v>
      </c>
      <c r="E11" s="11"/>
      <c r="F1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4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4" t="s">
        <v>566</v>
      </c>
    </row>
    <row r="2" customFormat="false" ht="15" hidden="false" customHeight="false" outlineLevel="0" collapsed="false">
      <c r="A2" s="5" t="s">
        <v>567</v>
      </c>
    </row>
    <row r="4" customFormat="false" ht="30" hidden="false" customHeight="true" outlineLevel="0" collapsed="false">
      <c r="A4" s="6" t="s">
        <v>274</v>
      </c>
      <c r="B4" s="6" t="s">
        <v>568</v>
      </c>
      <c r="C4" s="6" t="s">
        <v>569</v>
      </c>
      <c r="D4" s="6" t="s">
        <v>570</v>
      </c>
      <c r="E4" s="6" t="s">
        <v>571</v>
      </c>
      <c r="F4" s="6" t="s">
        <v>572</v>
      </c>
      <c r="G4" s="6" t="s">
        <v>573</v>
      </c>
    </row>
    <row r="5" customFormat="false" ht="31.5" hidden="false" customHeight="true" outlineLevel="0" collapsed="false">
      <c r="A5" s="7" t="n">
        <v>1</v>
      </c>
      <c r="B5" s="7" t="s">
        <v>574</v>
      </c>
      <c r="C5" s="11"/>
      <c r="D5" s="11"/>
      <c r="E5" s="11"/>
      <c r="F5" s="11"/>
      <c r="G5" s="11"/>
    </row>
    <row r="6" customFormat="false" ht="31.5" hidden="false" customHeight="true" outlineLevel="0" collapsed="false">
      <c r="A6" s="7" t="n">
        <v>2</v>
      </c>
      <c r="B6" s="7" t="s">
        <v>575</v>
      </c>
      <c r="C6" s="11"/>
      <c r="D6" s="11"/>
      <c r="E6" s="11"/>
      <c r="F6" s="11"/>
      <c r="G6" s="11"/>
    </row>
    <row r="7" customFormat="false" ht="31.5" hidden="false" customHeight="true" outlineLevel="0" collapsed="false">
      <c r="A7" s="7" t="n">
        <v>3</v>
      </c>
      <c r="B7" s="7" t="s">
        <v>576</v>
      </c>
      <c r="C7" s="11"/>
      <c r="D7" s="11"/>
      <c r="E7" s="11"/>
      <c r="F7" s="11"/>
      <c r="G7" s="11"/>
    </row>
    <row r="8" customFormat="false" ht="31.5" hidden="false" customHeight="true" outlineLevel="0" collapsed="false">
      <c r="A8" s="7" t="n">
        <v>4</v>
      </c>
      <c r="B8" s="7" t="s">
        <v>577</v>
      </c>
      <c r="C8" s="11"/>
      <c r="D8" s="11"/>
      <c r="E8" s="11"/>
      <c r="F8" s="11"/>
      <c r="G8" s="11"/>
    </row>
    <row r="9" customFormat="false" ht="31.5" hidden="false" customHeight="true" outlineLevel="0" collapsed="false">
      <c r="A9" s="7" t="n">
        <v>5</v>
      </c>
      <c r="B9" s="7" t="s">
        <v>578</v>
      </c>
      <c r="C9" s="11"/>
      <c r="D9" s="11"/>
      <c r="E9" s="11"/>
      <c r="F9" s="11"/>
      <c r="G9" s="11"/>
    </row>
    <row r="10" customFormat="false" ht="31.5" hidden="false" customHeight="true" outlineLevel="0" collapsed="false">
      <c r="A10" s="7" t="n">
        <v>6</v>
      </c>
      <c r="B10" s="7" t="s">
        <v>579</v>
      </c>
      <c r="C10" s="11"/>
      <c r="D10" s="11"/>
      <c r="E10" s="11"/>
      <c r="F10" s="11"/>
      <c r="G10" s="11"/>
    </row>
    <row r="11" customFormat="false" ht="31.5" hidden="false" customHeight="true" outlineLevel="0" collapsed="false">
      <c r="A11" s="7" t="n">
        <v>7</v>
      </c>
      <c r="B11" s="7" t="s">
        <v>580</v>
      </c>
      <c r="C11" s="11"/>
      <c r="D11" s="11"/>
      <c r="E11" s="11"/>
      <c r="F11" s="11"/>
      <c r="G11" s="11"/>
    </row>
    <row r="12" customFormat="false" ht="31.5" hidden="false" customHeight="true" outlineLevel="0" collapsed="false">
      <c r="A12" s="7" t="n">
        <v>8</v>
      </c>
      <c r="B12" s="7" t="s">
        <v>581</v>
      </c>
      <c r="C12" s="11"/>
      <c r="D12" s="11"/>
      <c r="E12" s="11"/>
      <c r="F12" s="11"/>
      <c r="G1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4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4" t="s">
        <v>582</v>
      </c>
    </row>
    <row r="4" customFormat="false" ht="30" hidden="false" customHeight="true" outlineLevel="0" collapsed="false">
      <c r="A4" s="6" t="s">
        <v>583</v>
      </c>
      <c r="B4" s="6" t="s">
        <v>584</v>
      </c>
      <c r="C4" s="6" t="s">
        <v>585</v>
      </c>
      <c r="D4" s="6" t="s">
        <v>586</v>
      </c>
    </row>
    <row r="5" customFormat="false" ht="33.75" hidden="false" customHeight="true" outlineLevel="0" collapsed="false">
      <c r="A5" s="8" t="s">
        <v>587</v>
      </c>
      <c r="B5" s="7" t="s">
        <v>588</v>
      </c>
      <c r="C5" s="11"/>
      <c r="D5" s="11"/>
    </row>
    <row r="6" customFormat="false" ht="33.75" hidden="false" customHeight="true" outlineLevel="0" collapsed="false">
      <c r="A6" s="8" t="s">
        <v>589</v>
      </c>
      <c r="B6" s="7" t="s">
        <v>590</v>
      </c>
      <c r="C6" s="11"/>
      <c r="D6" s="11"/>
    </row>
    <row r="7" customFormat="false" ht="33.75" hidden="false" customHeight="true" outlineLevel="0" collapsed="false">
      <c r="A7" s="8" t="s">
        <v>591</v>
      </c>
      <c r="B7" s="7" t="s">
        <v>592</v>
      </c>
      <c r="C7" s="11"/>
      <c r="D7" s="11"/>
    </row>
    <row r="8" customFormat="false" ht="33.75" hidden="false" customHeight="true" outlineLevel="0" collapsed="false">
      <c r="A8" s="8" t="s">
        <v>593</v>
      </c>
      <c r="B8" s="7" t="s">
        <v>594</v>
      </c>
      <c r="C8" s="11"/>
      <c r="D8" s="11"/>
    </row>
    <row r="9" customFormat="false" ht="33.75" hidden="false" customHeight="true" outlineLevel="0" collapsed="false">
      <c r="A9" s="8" t="s">
        <v>595</v>
      </c>
      <c r="B9" s="7" t="s">
        <v>596</v>
      </c>
      <c r="C9" s="11"/>
      <c r="D9" s="11"/>
    </row>
    <row r="10" customFormat="false" ht="33.75" hidden="false" customHeight="true" outlineLevel="0" collapsed="false">
      <c r="A10" s="8" t="s">
        <v>597</v>
      </c>
      <c r="B10" s="7" t="s">
        <v>598</v>
      </c>
      <c r="C10" s="11"/>
      <c r="D10" s="11"/>
    </row>
    <row r="12" customFormat="false" ht="15" hidden="false" customHeight="false" outlineLevel="0" collapsed="false">
      <c r="A12" s="5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2026-07-20T20:31:57Z</dcterms:created>
  <dc:creator/>
  <dc:description/>
  <dc:language>en-US</dc:language>
  <cp:lastModifiedBy/>
  <dcterms:modified xsi:type="dcterms:W3CDTF">2026-07-20T20:31:57Z</dcterms:modified>
  <cp:revision>0</cp:revision>
  <dc:subject/>
  <dc:title/>
</cp:coreProperties>
</file>